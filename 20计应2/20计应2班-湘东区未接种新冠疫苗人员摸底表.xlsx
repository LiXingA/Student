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ing\Documents\WeChat Files\wxid_0lg821m9xx1w22\FileStorage\File\2021-03\"/>
    </mc:Choice>
  </mc:AlternateContent>
  <xr:revisionPtr revIDLastSave="0" documentId="13_ncr:1_{4DE8DEBC-9184-43AC-9F87-F9C7920381E4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Xing</author>
  </authors>
  <commentList>
    <comment ref="E13" authorId="0" shapeId="0" xr:uid="{5B9BC16A-C8A5-4A97-B52F-59679923FAF6}">
      <text>
        <r>
          <rPr>
            <b/>
            <sz val="9"/>
            <rFont val="宋体"/>
            <family val="3"/>
            <charset val="134"/>
          </rPr>
          <t>Xing:</t>
        </r>
        <r>
          <rPr>
            <sz val="9"/>
            <rFont val="宋体"/>
            <family val="3"/>
            <charset val="134"/>
          </rPr>
          <t xml:space="preserve">
之前学生的身份证号搞错了</t>
        </r>
      </text>
    </comment>
  </commentList>
</comments>
</file>

<file path=xl/sharedStrings.xml><?xml version="1.0" encoding="utf-8"?>
<sst xmlns="http://schemas.openxmlformats.org/spreadsheetml/2006/main" count="262" uniqueCount="212">
  <si>
    <t>湘东区未接种新冠疫苗信息摸底表</t>
  </si>
  <si>
    <t>单位：</t>
  </si>
  <si>
    <t>序号</t>
  </si>
  <si>
    <t>姓名</t>
  </si>
  <si>
    <t>性别</t>
  </si>
  <si>
    <t>年龄</t>
  </si>
  <si>
    <t>身份证号</t>
  </si>
  <si>
    <t>联系电话</t>
  </si>
  <si>
    <t>家庭住址</t>
  </si>
  <si>
    <t>居住情况</t>
  </si>
  <si>
    <t>备注</t>
  </si>
  <si>
    <t>0-18岁填A;18-59岁填B;60岁以上填C</t>
  </si>
  <si>
    <t xml:space="preserve">1、常住本地填D 2、常住市外或省外填E    </t>
  </si>
  <si>
    <r>
      <rPr>
        <sz val="11"/>
        <color theme="1"/>
        <rFont val="宋体"/>
        <charset val="134"/>
        <scheme val="minor"/>
      </rPr>
      <t>填表说明：</t>
    </r>
    <r>
      <rPr>
        <sz val="11"/>
        <color theme="1"/>
        <rFont val="宋体"/>
        <charset val="134"/>
        <scheme val="minor"/>
      </rPr>
      <t xml:space="preserve">                                                                                             </t>
    </r>
  </si>
  <si>
    <r>
      <t xml:space="preserve"> </t>
    </r>
    <r>
      <rPr>
        <sz val="11"/>
        <color theme="1"/>
        <rFont val="宋体"/>
        <family val="3"/>
        <charset val="134"/>
        <scheme val="minor"/>
      </rPr>
      <t xml:space="preserve">   </t>
    </r>
    <r>
      <rPr>
        <sz val="11"/>
        <color theme="1"/>
        <rFont val="宋体"/>
        <charset val="134"/>
        <scheme val="minor"/>
      </rPr>
      <t>2.常住本地不能确定是否已接种新冠疫苗的一律视为未接种；常住市外或省外的一律视为未接种；</t>
    </r>
    <phoneticPr fontId="6" type="noConversion"/>
  </si>
  <si>
    <t xml:space="preserve">  单位负责人（签字）                      统计人员：                                   单位盖章                                 </t>
    <phoneticPr fontId="6" type="noConversion"/>
  </si>
  <si>
    <t xml:space="preserve">      乡镇（街（产业园）    村（社区、企业）      组（小区）     填表人：        电话：              填表日期：  </t>
    <phoneticPr fontId="6" type="noConversion"/>
  </si>
  <si>
    <t xml:space="preserve">    1.请各乡镇街及产业园按要求每项都填写，并在4月3日前将电子版发至邮箱229809428@qq.com，(电子表格不得修改）纸质盖章版送至卫健委三楼疾控股，咨询电话3376097；</t>
    <phoneticPr fontId="6" type="noConversion"/>
  </si>
  <si>
    <t>杜娅倩</t>
  </si>
  <si>
    <t>女</t>
  </si>
  <si>
    <t>黄青青</t>
  </si>
  <si>
    <t>聂心怡</t>
  </si>
  <si>
    <t>蔡小瑾</t>
  </si>
  <si>
    <t>兰玉婷</t>
  </si>
  <si>
    <t>黎文静</t>
  </si>
  <si>
    <t>李浩搏</t>
  </si>
  <si>
    <t>男</t>
  </si>
  <si>
    <t>陈昊平</t>
  </si>
  <si>
    <t>刘晨浩</t>
  </si>
  <si>
    <t>饶艺成</t>
  </si>
  <si>
    <t>谢邦华</t>
  </si>
  <si>
    <t>叶佳涌</t>
  </si>
  <si>
    <t>余董昊</t>
  </si>
  <si>
    <t>黄安德</t>
  </si>
  <si>
    <t>刘凯</t>
  </si>
  <si>
    <t>罗枫</t>
  </si>
  <si>
    <t>张梓豪</t>
  </si>
  <si>
    <t>龚家明</t>
  </si>
  <si>
    <t>李世杰</t>
  </si>
  <si>
    <t>李维杰</t>
  </si>
  <si>
    <t>刘懿锋</t>
  </si>
  <si>
    <t>梅镇良</t>
  </si>
  <si>
    <t>张涛</t>
  </si>
  <si>
    <t>崔志刚</t>
  </si>
  <si>
    <t>刘锦峰</t>
  </si>
  <si>
    <t>刘友有</t>
  </si>
  <si>
    <t>易宇辉</t>
  </si>
  <si>
    <t>朱海峰</t>
  </si>
  <si>
    <t>郭闽智</t>
  </si>
  <si>
    <t>黎浪</t>
  </si>
  <si>
    <t>肖金果</t>
  </si>
  <si>
    <t>徐培宸</t>
  </si>
  <si>
    <t>尹海林</t>
  </si>
  <si>
    <t>余仲泽</t>
  </si>
  <si>
    <t>梅世麟</t>
  </si>
  <si>
    <t>沈雄鹰</t>
  </si>
  <si>
    <t>唐春虎</t>
  </si>
  <si>
    <t>杨文智</t>
  </si>
  <si>
    <t>胡俊杰</t>
  </si>
  <si>
    <t>何润锋</t>
  </si>
  <si>
    <t>卢毅</t>
  </si>
  <si>
    <t>唐寅</t>
  </si>
  <si>
    <t>陈伟</t>
  </si>
  <si>
    <t>黄海锋</t>
  </si>
  <si>
    <t>刘石林</t>
  </si>
  <si>
    <t>王述喜</t>
  </si>
  <si>
    <t>吴伟翔</t>
  </si>
  <si>
    <t>周浜</t>
  </si>
  <si>
    <t>陈斌</t>
  </si>
  <si>
    <t>李文凯</t>
  </si>
  <si>
    <t>袁林</t>
  </si>
  <si>
    <t>占行宇</t>
  </si>
  <si>
    <t>36220320041126102X</t>
  </si>
  <si>
    <t>36030220050318302X</t>
  </si>
  <si>
    <t>362203200503111029</t>
  </si>
  <si>
    <t xml:space="preserve">360323200507182827	</t>
  </si>
  <si>
    <t>360322200501010542</t>
  </si>
  <si>
    <t>360311200412102040</t>
  </si>
  <si>
    <t>36031320041126151X</t>
  </si>
  <si>
    <t xml:space="preserve">362321200509067813	</t>
  </si>
  <si>
    <t>360302200512213032</t>
  </si>
  <si>
    <t xml:space="preserve">361029200502194514	</t>
  </si>
  <si>
    <t xml:space="preserve">360826200503086113	</t>
  </si>
  <si>
    <t>360429200506230077</t>
  </si>
  <si>
    <t xml:space="preserve">360429200512083317	</t>
  </si>
  <si>
    <t xml:space="preserve">362502200503243216	</t>
  </si>
  <si>
    <t xml:space="preserve">360321200505085019	</t>
  </si>
  <si>
    <t xml:space="preserve">362233200409203013	</t>
  </si>
  <si>
    <t xml:space="preserve">360302200411252032	</t>
  </si>
  <si>
    <t>361025200410031210</t>
  </si>
  <si>
    <t>36031220040918431X</t>
  </si>
  <si>
    <t>360302200506212017</t>
  </si>
  <si>
    <t>360321200401165516</t>
  </si>
  <si>
    <t>362204200411038414</t>
  </si>
  <si>
    <t xml:space="preserve">360830200511077510	</t>
  </si>
  <si>
    <t>360322200407090515</t>
  </si>
  <si>
    <t>360302200503133014</t>
  </si>
  <si>
    <t>360322200506074019</t>
  </si>
  <si>
    <t xml:space="preserve">360313200404113017	</t>
  </si>
  <si>
    <t xml:space="preserve">360321200410060054	</t>
  </si>
  <si>
    <t xml:space="preserve">362427200411034435	</t>
  </si>
  <si>
    <t xml:space="preserve">360322200405291532	</t>
  </si>
  <si>
    <t xml:space="preserve">360826200409082212	</t>
  </si>
  <si>
    <t xml:space="preserve">360302200511222017	</t>
  </si>
  <si>
    <t xml:space="preserve">362430200505114813	</t>
  </si>
  <si>
    <t xml:space="preserve">360323200501181014	</t>
  </si>
  <si>
    <t>360302200505101032</t>
  </si>
  <si>
    <t>360424200411060579</t>
  </si>
  <si>
    <t>360105200502131613</t>
  </si>
  <si>
    <t>360424200501250616</t>
  </si>
  <si>
    <t>360728200502122212</t>
  </si>
  <si>
    <t>360312200502031510</t>
  </si>
  <si>
    <t xml:space="preserve">362233200501070532	</t>
  </si>
  <si>
    <t xml:space="preserve">360922200410210330	</t>
  </si>
  <si>
    <t xml:space="preserve">362229200504073013	</t>
  </si>
  <si>
    <t>360924200407013056</t>
  </si>
  <si>
    <t>360782200410215233</t>
  </si>
  <si>
    <t>362427200504260036</t>
  </si>
  <si>
    <t>360923200501182837</t>
  </si>
  <si>
    <t>362422200401078416</t>
  </si>
  <si>
    <t xml:space="preserve">362322200403280137	</t>
  </si>
  <si>
    <t>362228200408170036</t>
  </si>
  <si>
    <t xml:space="preserve">360322200509290550	</t>
  </si>
  <si>
    <t>361128200602118796</t>
  </si>
  <si>
    <t>15979433205</t>
  </si>
  <si>
    <t>18979927790</t>
  </si>
  <si>
    <t>18322985256</t>
  </si>
  <si>
    <t>18707965338</t>
  </si>
  <si>
    <t>15879240015</t>
  </si>
  <si>
    <t>17770267983</t>
  </si>
  <si>
    <t>17379405142</t>
  </si>
  <si>
    <t>13627991728</t>
  </si>
  <si>
    <t>18296959290</t>
  </si>
  <si>
    <t>18179909263</t>
  </si>
  <si>
    <t>18279970493</t>
  </si>
  <si>
    <t>18879946854</t>
  </si>
  <si>
    <t>18979983613</t>
  </si>
  <si>
    <t>13237955798</t>
  </si>
  <si>
    <t>15279650812</t>
  </si>
  <si>
    <t>13698492951</t>
  </si>
  <si>
    <t>15707994540</t>
  </si>
  <si>
    <t>18870570521</t>
  </si>
  <si>
    <t>13207990379</t>
  </si>
  <si>
    <t>13361746412</t>
  </si>
  <si>
    <t>18827894588</t>
  </si>
  <si>
    <t>15907990236</t>
  </si>
  <si>
    <t>19970620151</t>
  </si>
  <si>
    <t>18879967535</t>
  </si>
  <si>
    <t>13698443499</t>
  </si>
  <si>
    <t>19970743069</t>
  </si>
  <si>
    <t>19136797869</t>
  </si>
  <si>
    <t>18370512384</t>
  </si>
  <si>
    <t>18720041054</t>
  </si>
  <si>
    <t>18779588512</t>
  </si>
  <si>
    <t>19870258576</t>
  </si>
  <si>
    <t>15179551974</t>
  </si>
  <si>
    <t>18270454448</t>
  </si>
  <si>
    <t>15079544589</t>
  </si>
  <si>
    <t>17779960366</t>
  </si>
  <si>
    <t>15216009804</t>
  </si>
  <si>
    <t>江西省宜春市樟树市兆丰花苑31栋1002室</t>
  </si>
  <si>
    <t>江西省萍乡市安源区高坑镇和平村987号</t>
  </si>
  <si>
    <t>江西省宜春市樟树市兆丰花苑31栋402室</t>
  </si>
  <si>
    <t>江西省芦溪县锦绣家园十栋三单元</t>
  </si>
  <si>
    <t>江西省萍乡市上栗县桐木镇崇德村石龙门64号</t>
  </si>
  <si>
    <t>江西省萍乡市上栗县长平乡石溪村茶冲坡12号</t>
  </si>
  <si>
    <t>江西省萍乡市安源区凤凰街道金街18号1栋五单元</t>
  </si>
  <si>
    <t>江西省上饶市上饶县枫岭头镇永丰村塘丘沿上片37附1号</t>
  </si>
  <si>
    <t>萍乡市上栗县赤山镇幕冲村长睦岭亭子巷</t>
  </si>
  <si>
    <t>江西省抚州市东乡区岗上积镇后边村辽塘组13号</t>
  </si>
  <si>
    <t>江西省吉安市泰和县老营盘镇田塅村水西组25号</t>
  </si>
  <si>
    <t>江西省九江市湖口县双钟镇洋港路洋港小区48栋1单元502室</t>
  </si>
  <si>
    <t>江西省九江市湖口县洋巷小区32栋</t>
  </si>
  <si>
    <t>江西省抚州市临川区桐源乡黄源村才溪组06号</t>
  </si>
  <si>
    <t>江西省萍乡市莲花县坊楼镇江山村</t>
  </si>
  <si>
    <t>江西省铜鼓县排埠村象山组</t>
  </si>
  <si>
    <t>江西省萍乡市安源区后埠街站前路18号1栋1单元501室</t>
  </si>
  <si>
    <t>江西省抚州市乐安县龚坊镇坨上村坨上八组坨上396号</t>
  </si>
  <si>
    <t>江西省萍乡市芦溪县源南乡西坑村四组上西坑25号</t>
  </si>
  <si>
    <t>江西省萍乡市安源区后埠街跃进北路337号1单元101室</t>
  </si>
  <si>
    <t>江西省萍乡市莲花县琴亭镇杨枧村芳路31号2室</t>
  </si>
  <si>
    <t>江西省高安市瑞州街道文昌村委会小湖桥村1号</t>
  </si>
  <si>
    <t>江西省吉安市永新县芦溪乡中陂村荷塘组006号</t>
  </si>
  <si>
    <t>江西省萍乡市上栗县桐木镇荆坪村月山下33号</t>
  </si>
  <si>
    <t>江西省萍乡市芦溪县源南乡龙泉村上山组</t>
  </si>
  <si>
    <t>江西省萍乡市上栗县赤山镇黄田林堂湾21号</t>
  </si>
  <si>
    <t>江西省萍乡市麻山镇桐田村煤金14组</t>
  </si>
  <si>
    <t>江西省萍乡市莲花县琴亭镇莲花村24号</t>
  </si>
  <si>
    <t>江西省吉安市遂川县禾漳镇杂口村石洞附7号</t>
  </si>
  <si>
    <t>江西省萍乡市上栗县金山镇金山村缪家湾54号</t>
  </si>
  <si>
    <t>江西省吉安市泰和县石山乡广湖村沙兰组66号</t>
  </si>
  <si>
    <t>江西省萍乡市安源区凤凰街甘露巷19号1单元501室</t>
  </si>
  <si>
    <t>江西省吉安市永新县沙市镇龙楠村下山自然村30号</t>
  </si>
  <si>
    <t>江西省萍乡市芦溪县上埠镇江下村石背21号</t>
  </si>
  <si>
    <t>江西省萍乡市安源区东大街南外巷1单元101室</t>
  </si>
  <si>
    <t>江西省九江市修水县白岭镇大庄段村二十三组</t>
  </si>
  <si>
    <t>江西省南昌市湾里区招贤镇港下村田溪唐家自然村46号</t>
  </si>
  <si>
    <t>江西省九江市修水县白岭镇沙坪村十二组</t>
  </si>
  <si>
    <t>江西省赣州市定南县弘润国际5栋2单元501</t>
  </si>
  <si>
    <t>江西省萍乡市芦溪县精鹰小区26栋1单元302</t>
  </si>
  <si>
    <t>江西省宜春市铜鼓县温泉镇石桥村青坪组</t>
  </si>
  <si>
    <t>江西省宜春市万载县株潭镇上访村郭家冲组9号</t>
  </si>
  <si>
    <t>江西省宜春市宜丰县石市镇楼下村江家</t>
  </si>
  <si>
    <t>江西省宜春市宜丰县石市镇车溪村卢下组</t>
  </si>
  <si>
    <t>江西省赣州市章贡区梅光大道嘉福肖江尊品2期</t>
  </si>
  <si>
    <t>江西省吉安市遂川县泉江镇桃芫村上西河11号</t>
  </si>
  <si>
    <t>江西省宜春市上高县徐家渡镇泉港村新屋里41号</t>
  </si>
  <si>
    <t>江西省吉安市吉水县文峰峰吉阳小区B17栋2单元</t>
  </si>
  <si>
    <t>江西省上饶市广丰区永丰镇永丰街道</t>
  </si>
  <si>
    <t>江西省宜春市上高县徐家渡东边村</t>
  </si>
  <si>
    <t>江西省萍乡市上栗县桐木镇荆坪村月山下</t>
  </si>
  <si>
    <t>江西省上饶市鄱阳县新天地小区3区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</si>
</sst>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name val="Calibri"/>
      <family val="2"/>
    </font>
    <font>
      <sz val="11"/>
      <color theme="1"/>
      <name val="Calibri"/>
      <family val="2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4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3" fillId="0" borderId="2" xfId="0" applyFont="1" applyBorder="1">
      <alignment vertical="center"/>
    </xf>
    <xf numFmtId="0" fontId="0" fillId="0" borderId="0" xfId="0" applyAlignment="1">
      <alignment horizontal="right" vertic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vertical="center" wrapText="1"/>
    </xf>
    <xf numFmtId="0" fontId="9" fillId="0" borderId="0" xfId="0" applyFont="1">
      <alignment vertical="center"/>
    </xf>
    <xf numFmtId="0" fontId="9" fillId="0" borderId="5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49" fontId="11" fillId="0" borderId="5" xfId="0" applyNumberFormat="1" applyFon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12" fillId="2" borderId="2" xfId="0" applyNumberFormat="1" applyFont="1" applyFill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0" fillId="0" borderId="2" xfId="0" quotePrefix="1" applyNumberFormat="1" applyBorder="1" applyAlignment="1">
      <alignment horizontal="center" vertical="center"/>
    </xf>
    <xf numFmtId="49" fontId="0" fillId="2" borderId="2" xfId="0" quotePrefix="1" applyNumberFormat="1" applyFill="1" applyBorder="1" applyAlignment="1">
      <alignment horizontal="center" vertical="center"/>
    </xf>
    <xf numFmtId="0" fontId="8" fillId="0" borderId="3" xfId="0" applyNumberFormat="1" applyFont="1" applyBorder="1" applyAlignment="1">
      <alignment horizontal="center" vertical="center"/>
    </xf>
    <xf numFmtId="0" fontId="8" fillId="0" borderId="2" xfId="0" applyNumberFormat="1" applyFont="1" applyBorder="1" applyAlignment="1">
      <alignment vertical="center" wrapText="1"/>
    </xf>
    <xf numFmtId="0" fontId="10" fillId="0" borderId="2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5" xfId="0" applyBorder="1" applyAlignment="1">
      <alignment horizontal="center" vertical="center"/>
    </xf>
    <xf numFmtId="49" fontId="16" fillId="2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9" fontId="17" fillId="2" borderId="2" xfId="0" applyNumberFormat="1" applyFont="1" applyFill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49" fontId="18" fillId="2" borderId="2" xfId="0" applyNumberFormat="1" applyFont="1" applyFill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topLeftCell="E45" workbookViewId="0">
      <selection activeCell="H5" sqref="H5:H56"/>
    </sheetView>
  </sheetViews>
  <sheetFormatPr defaultColWidth="9" defaultRowHeight="14"/>
  <cols>
    <col min="1" max="1" width="6.453125" customWidth="1"/>
    <col min="2" max="2" width="10.36328125" customWidth="1"/>
    <col min="3" max="3" width="5.90625" customWidth="1"/>
    <col min="4" max="4" width="35.7265625" style="39" customWidth="1"/>
    <col min="5" max="5" width="22.7265625" customWidth="1"/>
    <col min="6" max="6" width="18.08984375" customWidth="1"/>
    <col min="7" max="7" width="33.1796875" customWidth="1"/>
    <col min="8" max="8" width="18.90625" customWidth="1"/>
    <col min="9" max="9" width="13.90625" customWidth="1"/>
  </cols>
  <sheetData>
    <row r="1" spans="1:9" ht="30.75" customHeight="1">
      <c r="A1" s="12" t="s">
        <v>0</v>
      </c>
      <c r="B1" s="13"/>
      <c r="C1" s="13"/>
      <c r="D1" s="13"/>
      <c r="E1" s="13"/>
      <c r="F1" s="13"/>
      <c r="G1" s="13"/>
      <c r="H1" s="13"/>
      <c r="I1" s="1"/>
    </row>
    <row r="2" spans="1:9" ht="24.75" customHeight="1">
      <c r="A2" s="9" t="s">
        <v>1</v>
      </c>
      <c r="B2" s="14" t="s">
        <v>16</v>
      </c>
      <c r="C2" s="14"/>
      <c r="D2" s="14"/>
      <c r="E2" s="14"/>
      <c r="F2" s="14"/>
      <c r="G2" s="14"/>
      <c r="H2" s="14"/>
      <c r="I2" s="14"/>
    </row>
    <row r="3" spans="1:9" ht="24" customHeight="1">
      <c r="A3" s="23" t="s">
        <v>2</v>
      </c>
      <c r="B3" s="23" t="s">
        <v>3</v>
      </c>
      <c r="C3" s="23" t="s">
        <v>4</v>
      </c>
      <c r="D3" s="35" t="s">
        <v>5</v>
      </c>
      <c r="E3" s="23" t="s">
        <v>6</v>
      </c>
      <c r="F3" s="23" t="s">
        <v>7</v>
      </c>
      <c r="G3" s="21" t="s">
        <v>8</v>
      </c>
      <c r="H3" s="7" t="s">
        <v>9</v>
      </c>
      <c r="I3" s="21" t="s">
        <v>10</v>
      </c>
    </row>
    <row r="4" spans="1:9" ht="43.5" customHeight="1">
      <c r="A4" s="23"/>
      <c r="B4" s="23"/>
      <c r="C4" s="23"/>
      <c r="D4" s="36" t="s">
        <v>11</v>
      </c>
      <c r="E4" s="23"/>
      <c r="F4" s="23"/>
      <c r="G4" s="22"/>
      <c r="H4" s="8" t="s">
        <v>12</v>
      </c>
      <c r="I4" s="22"/>
    </row>
    <row r="5" spans="1:9" ht="21.75" customHeight="1">
      <c r="A5" s="3">
        <v>1</v>
      </c>
      <c r="B5" s="24" t="s">
        <v>18</v>
      </c>
      <c r="C5" s="25" t="s">
        <v>19</v>
      </c>
      <c r="D5" s="37" t="str">
        <f>IF((2021-MID(E5,7,4))&gt;=18,"B","A")</f>
        <v>A</v>
      </c>
      <c r="E5" s="25" t="s">
        <v>72</v>
      </c>
      <c r="F5" s="40">
        <v>15070545898</v>
      </c>
      <c r="G5" s="44" t="s">
        <v>160</v>
      </c>
      <c r="H5" s="10" t="str">
        <f>IF(ISNUMBER(SEARCH("萍乡",G5)),"D","E")</f>
        <v>E</v>
      </c>
      <c r="I5" s="5"/>
    </row>
    <row r="6" spans="1:9" ht="21.75" customHeight="1">
      <c r="A6" s="3">
        <v>2</v>
      </c>
      <c r="B6" s="26" t="s">
        <v>20</v>
      </c>
      <c r="C6" s="27" t="s">
        <v>19</v>
      </c>
      <c r="D6" s="37" t="str">
        <f t="shared" ref="D6:D56" si="0">IF((2021-MID(E6,7,4))&gt;=18,"B","A")</f>
        <v>A</v>
      </c>
      <c r="E6" s="27" t="s">
        <v>73</v>
      </c>
      <c r="F6" s="41">
        <v>18179959334</v>
      </c>
      <c r="G6" s="32" t="s">
        <v>161</v>
      </c>
      <c r="H6" s="10" t="str">
        <f t="shared" ref="H6:H56" si="1">IF(ISNUMBER(SEARCH("萍乡",G6)),"D","E")</f>
        <v>D</v>
      </c>
      <c r="I6" s="5"/>
    </row>
    <row r="7" spans="1:9" ht="21.75" customHeight="1">
      <c r="A7" s="3">
        <v>3</v>
      </c>
      <c r="B7" s="26" t="s">
        <v>21</v>
      </c>
      <c r="C7" s="27" t="s">
        <v>19</v>
      </c>
      <c r="D7" s="37" t="str">
        <f t="shared" si="0"/>
        <v>A</v>
      </c>
      <c r="E7" s="33" t="s">
        <v>74</v>
      </c>
      <c r="F7" s="41">
        <v>18470564650</v>
      </c>
      <c r="G7" s="32" t="s">
        <v>162</v>
      </c>
      <c r="H7" s="10" t="str">
        <f t="shared" si="1"/>
        <v>E</v>
      </c>
      <c r="I7" s="5"/>
    </row>
    <row r="8" spans="1:9" ht="21.75" customHeight="1">
      <c r="A8" s="3">
        <v>4</v>
      </c>
      <c r="B8" s="26" t="s">
        <v>22</v>
      </c>
      <c r="C8" s="27" t="s">
        <v>19</v>
      </c>
      <c r="D8" s="37" t="str">
        <f t="shared" si="0"/>
        <v>A</v>
      </c>
      <c r="E8" s="27" t="s">
        <v>75</v>
      </c>
      <c r="F8" s="41">
        <v>18579269344</v>
      </c>
      <c r="G8" s="32" t="s">
        <v>163</v>
      </c>
      <c r="H8" s="10" t="str">
        <f t="shared" si="1"/>
        <v>E</v>
      </c>
      <c r="I8" s="5"/>
    </row>
    <row r="9" spans="1:9" ht="21.75" customHeight="1">
      <c r="A9" s="3">
        <v>5</v>
      </c>
      <c r="B9" s="26" t="s">
        <v>23</v>
      </c>
      <c r="C9" s="27" t="s">
        <v>19</v>
      </c>
      <c r="D9" s="37" t="str">
        <f t="shared" si="0"/>
        <v>A</v>
      </c>
      <c r="E9" s="33" t="s">
        <v>76</v>
      </c>
      <c r="F9" s="41">
        <v>18679969104</v>
      </c>
      <c r="G9" s="32" t="s">
        <v>164</v>
      </c>
      <c r="H9" s="10" t="str">
        <f t="shared" si="1"/>
        <v>D</v>
      </c>
      <c r="I9" s="5"/>
    </row>
    <row r="10" spans="1:9" ht="21.75" customHeight="1">
      <c r="A10" s="3">
        <v>6</v>
      </c>
      <c r="B10" s="26" t="s">
        <v>24</v>
      </c>
      <c r="C10" s="27" t="s">
        <v>19</v>
      </c>
      <c r="D10" s="37" t="str">
        <f t="shared" si="0"/>
        <v>A</v>
      </c>
      <c r="E10" s="33" t="s">
        <v>77</v>
      </c>
      <c r="F10" s="41">
        <v>18279925645</v>
      </c>
      <c r="G10" s="32" t="s">
        <v>165</v>
      </c>
      <c r="H10" s="10" t="str">
        <f t="shared" si="1"/>
        <v>D</v>
      </c>
      <c r="I10" s="5"/>
    </row>
    <row r="11" spans="1:9" ht="21.75" customHeight="1">
      <c r="A11" s="3">
        <v>7</v>
      </c>
      <c r="B11" s="28" t="s">
        <v>25</v>
      </c>
      <c r="C11" s="27" t="s">
        <v>26</v>
      </c>
      <c r="D11" s="37" t="str">
        <f t="shared" si="0"/>
        <v>A</v>
      </c>
      <c r="E11" s="27" t="s">
        <v>78</v>
      </c>
      <c r="F11" s="27" t="s">
        <v>124</v>
      </c>
      <c r="G11" s="45" t="s">
        <v>166</v>
      </c>
      <c r="H11" s="10" t="str">
        <f t="shared" si="1"/>
        <v>D</v>
      </c>
      <c r="I11" s="5"/>
    </row>
    <row r="12" spans="1:9" ht="21.75" customHeight="1">
      <c r="A12" s="3">
        <v>8</v>
      </c>
      <c r="B12" s="29" t="s">
        <v>27</v>
      </c>
      <c r="C12" s="27" t="s">
        <v>26</v>
      </c>
      <c r="D12" s="37" t="str">
        <f t="shared" si="0"/>
        <v>A</v>
      </c>
      <c r="E12" s="27" t="s">
        <v>79</v>
      </c>
      <c r="F12" s="41">
        <v>15720924092</v>
      </c>
      <c r="G12" s="32" t="s">
        <v>167</v>
      </c>
      <c r="H12" s="10" t="str">
        <f t="shared" si="1"/>
        <v>E</v>
      </c>
      <c r="I12" s="5"/>
    </row>
    <row r="13" spans="1:9" ht="21.75" customHeight="1">
      <c r="A13" s="3">
        <v>9</v>
      </c>
      <c r="B13" s="28" t="s">
        <v>28</v>
      </c>
      <c r="C13" s="30" t="s">
        <v>26</v>
      </c>
      <c r="D13" s="37" t="str">
        <f t="shared" si="0"/>
        <v>A</v>
      </c>
      <c r="E13" s="30" t="s">
        <v>80</v>
      </c>
      <c r="F13" s="41" t="s">
        <v>125</v>
      </c>
      <c r="G13" s="46" t="s">
        <v>168</v>
      </c>
      <c r="H13" s="10" t="str">
        <f t="shared" si="1"/>
        <v>D</v>
      </c>
      <c r="I13" s="5"/>
    </row>
    <row r="14" spans="1:9" ht="21.75" customHeight="1">
      <c r="A14" s="3">
        <v>10</v>
      </c>
      <c r="B14" s="29" t="s">
        <v>29</v>
      </c>
      <c r="C14" s="27" t="s">
        <v>26</v>
      </c>
      <c r="D14" s="37" t="str">
        <f t="shared" si="0"/>
        <v>A</v>
      </c>
      <c r="E14" s="27" t="s">
        <v>81</v>
      </c>
      <c r="F14" s="41" t="s">
        <v>126</v>
      </c>
      <c r="G14" s="32" t="s">
        <v>169</v>
      </c>
      <c r="H14" s="10" t="str">
        <f t="shared" si="1"/>
        <v>E</v>
      </c>
      <c r="I14" s="5"/>
    </row>
    <row r="15" spans="1:9" ht="21.75" customHeight="1">
      <c r="A15" s="3">
        <v>11</v>
      </c>
      <c r="B15" s="29" t="s">
        <v>30</v>
      </c>
      <c r="C15" s="27" t="s">
        <v>26</v>
      </c>
      <c r="D15" s="37" t="str">
        <f t="shared" si="0"/>
        <v>A</v>
      </c>
      <c r="E15" s="27" t="s">
        <v>82</v>
      </c>
      <c r="F15" s="41" t="s">
        <v>127</v>
      </c>
      <c r="G15" s="32" t="s">
        <v>170</v>
      </c>
      <c r="H15" s="10" t="str">
        <f t="shared" si="1"/>
        <v>E</v>
      </c>
      <c r="I15" s="5"/>
    </row>
    <row r="16" spans="1:9" ht="21.75" customHeight="1">
      <c r="A16" s="3">
        <v>12</v>
      </c>
      <c r="B16" s="29" t="s">
        <v>31</v>
      </c>
      <c r="C16" s="27" t="s">
        <v>26</v>
      </c>
      <c r="D16" s="37" t="str">
        <f t="shared" si="0"/>
        <v>A</v>
      </c>
      <c r="E16" s="27" t="s">
        <v>83</v>
      </c>
      <c r="F16" s="27" t="s">
        <v>128</v>
      </c>
      <c r="G16" s="45" t="s">
        <v>171</v>
      </c>
      <c r="H16" s="10" t="str">
        <f t="shared" si="1"/>
        <v>E</v>
      </c>
      <c r="I16" s="5"/>
    </row>
    <row r="17" spans="1:9" ht="21.75" customHeight="1">
      <c r="A17" s="3">
        <v>13</v>
      </c>
      <c r="B17" s="29" t="s">
        <v>32</v>
      </c>
      <c r="C17" s="27" t="s">
        <v>26</v>
      </c>
      <c r="D17" s="37" t="str">
        <f t="shared" si="0"/>
        <v>A</v>
      </c>
      <c r="E17" s="27" t="s">
        <v>84</v>
      </c>
      <c r="F17" s="41" t="s">
        <v>129</v>
      </c>
      <c r="G17" s="32" t="s">
        <v>172</v>
      </c>
      <c r="H17" s="10" t="str">
        <f t="shared" si="1"/>
        <v>E</v>
      </c>
      <c r="I17" s="5"/>
    </row>
    <row r="18" spans="1:9" ht="21.75" customHeight="1">
      <c r="A18" s="3">
        <v>14</v>
      </c>
      <c r="B18" s="29" t="s">
        <v>33</v>
      </c>
      <c r="C18" s="27" t="s">
        <v>26</v>
      </c>
      <c r="D18" s="37" t="str">
        <f t="shared" si="0"/>
        <v>A</v>
      </c>
      <c r="E18" s="27" t="s">
        <v>85</v>
      </c>
      <c r="F18" s="41" t="s">
        <v>130</v>
      </c>
      <c r="G18" s="47" t="s">
        <v>173</v>
      </c>
      <c r="H18" s="10" t="str">
        <f t="shared" si="1"/>
        <v>E</v>
      </c>
      <c r="I18" s="5"/>
    </row>
    <row r="19" spans="1:9" ht="21.75" customHeight="1">
      <c r="A19" s="3">
        <v>15</v>
      </c>
      <c r="B19" s="29" t="s">
        <v>34</v>
      </c>
      <c r="C19" s="27" t="s">
        <v>26</v>
      </c>
      <c r="D19" s="37" t="str">
        <f t="shared" si="0"/>
        <v>A</v>
      </c>
      <c r="E19" s="27" t="s">
        <v>86</v>
      </c>
      <c r="F19" s="41" t="s">
        <v>131</v>
      </c>
      <c r="G19" s="47" t="s">
        <v>174</v>
      </c>
      <c r="H19" s="10" t="str">
        <f t="shared" si="1"/>
        <v>D</v>
      </c>
      <c r="I19" s="5"/>
    </row>
    <row r="20" spans="1:9" ht="21.75" customHeight="1">
      <c r="A20" s="3">
        <v>16</v>
      </c>
      <c r="B20" s="29" t="s">
        <v>35</v>
      </c>
      <c r="C20" s="27" t="s">
        <v>26</v>
      </c>
      <c r="D20" s="37" t="str">
        <f t="shared" si="0"/>
        <v>A</v>
      </c>
      <c r="E20" s="27" t="s">
        <v>87</v>
      </c>
      <c r="F20" s="41" t="s">
        <v>132</v>
      </c>
      <c r="G20" s="47" t="s">
        <v>175</v>
      </c>
      <c r="H20" s="10" t="str">
        <f t="shared" si="1"/>
        <v>E</v>
      </c>
      <c r="I20" s="5"/>
    </row>
    <row r="21" spans="1:9" ht="21.75" customHeight="1">
      <c r="A21" s="3">
        <v>17</v>
      </c>
      <c r="B21" s="29" t="s">
        <v>36</v>
      </c>
      <c r="C21" s="27" t="s">
        <v>26</v>
      </c>
      <c r="D21" s="37" t="str">
        <f t="shared" si="0"/>
        <v>A</v>
      </c>
      <c r="E21" s="27" t="s">
        <v>88</v>
      </c>
      <c r="F21" s="41" t="s">
        <v>133</v>
      </c>
      <c r="G21" s="32" t="s">
        <v>176</v>
      </c>
      <c r="H21" s="10" t="str">
        <f t="shared" si="1"/>
        <v>D</v>
      </c>
      <c r="I21" s="5"/>
    </row>
    <row r="22" spans="1:9" ht="21.75" customHeight="1">
      <c r="A22" s="3">
        <v>18</v>
      </c>
      <c r="B22" s="29" t="s">
        <v>37</v>
      </c>
      <c r="C22" s="27" t="s">
        <v>26</v>
      </c>
      <c r="D22" s="37" t="str">
        <f t="shared" si="0"/>
        <v>A</v>
      </c>
      <c r="E22" s="33" t="s">
        <v>89</v>
      </c>
      <c r="F22" s="41">
        <v>18807048419</v>
      </c>
      <c r="G22" s="47" t="s">
        <v>177</v>
      </c>
      <c r="H22" s="10" t="str">
        <f t="shared" si="1"/>
        <v>E</v>
      </c>
      <c r="I22" s="5"/>
    </row>
    <row r="23" spans="1:9" ht="21.75" customHeight="1">
      <c r="A23" s="3">
        <v>19</v>
      </c>
      <c r="B23" s="29" t="s">
        <v>38</v>
      </c>
      <c r="C23" s="27" t="s">
        <v>26</v>
      </c>
      <c r="D23" s="37" t="str">
        <f t="shared" si="0"/>
        <v>A</v>
      </c>
      <c r="E23" s="27" t="s">
        <v>90</v>
      </c>
      <c r="F23" s="41" t="s">
        <v>134</v>
      </c>
      <c r="G23" s="32" t="s">
        <v>178</v>
      </c>
      <c r="H23" s="10" t="str">
        <f t="shared" si="1"/>
        <v>D</v>
      </c>
      <c r="I23" s="5"/>
    </row>
    <row r="24" spans="1:9" ht="21.75" customHeight="1">
      <c r="A24" s="3">
        <v>20</v>
      </c>
      <c r="B24" s="29" t="s">
        <v>39</v>
      </c>
      <c r="C24" s="27" t="s">
        <v>26</v>
      </c>
      <c r="D24" s="37" t="str">
        <f t="shared" si="0"/>
        <v>A</v>
      </c>
      <c r="E24" s="27" t="s">
        <v>91</v>
      </c>
      <c r="F24" s="27" t="s">
        <v>135</v>
      </c>
      <c r="G24" s="45" t="s">
        <v>179</v>
      </c>
      <c r="H24" s="10" t="str">
        <f t="shared" si="1"/>
        <v>D</v>
      </c>
      <c r="I24" s="5"/>
    </row>
    <row r="25" spans="1:9" ht="21.75" customHeight="1">
      <c r="A25" s="3">
        <v>21</v>
      </c>
      <c r="B25" s="29" t="s">
        <v>40</v>
      </c>
      <c r="C25" s="27" t="s">
        <v>26</v>
      </c>
      <c r="D25" s="37" t="str">
        <f t="shared" si="0"/>
        <v>A</v>
      </c>
      <c r="E25" s="33" t="s">
        <v>92</v>
      </c>
      <c r="F25" s="41" t="s">
        <v>136</v>
      </c>
      <c r="G25" s="32" t="s">
        <v>180</v>
      </c>
      <c r="H25" s="10" t="str">
        <f t="shared" si="1"/>
        <v>D</v>
      </c>
      <c r="I25" s="5"/>
    </row>
    <row r="26" spans="1:9" ht="21.75" customHeight="1">
      <c r="A26" s="3">
        <v>22</v>
      </c>
      <c r="B26" s="29" t="s">
        <v>41</v>
      </c>
      <c r="C26" s="27" t="s">
        <v>26</v>
      </c>
      <c r="D26" s="37" t="str">
        <f t="shared" si="0"/>
        <v>A</v>
      </c>
      <c r="E26" s="33" t="s">
        <v>93</v>
      </c>
      <c r="F26" s="41" t="s">
        <v>137</v>
      </c>
      <c r="G26" s="47" t="s">
        <v>181</v>
      </c>
      <c r="H26" s="10" t="str">
        <f t="shared" si="1"/>
        <v>E</v>
      </c>
      <c r="I26" s="5"/>
    </row>
    <row r="27" spans="1:9" ht="21.75" customHeight="1">
      <c r="A27" s="3">
        <v>23</v>
      </c>
      <c r="B27" s="29" t="s">
        <v>42</v>
      </c>
      <c r="C27" s="27" t="s">
        <v>26</v>
      </c>
      <c r="D27" s="37" t="str">
        <f t="shared" si="0"/>
        <v>A</v>
      </c>
      <c r="E27" s="27" t="s">
        <v>94</v>
      </c>
      <c r="F27" s="41" t="s">
        <v>138</v>
      </c>
      <c r="G27" s="32" t="s">
        <v>182</v>
      </c>
      <c r="H27" s="10" t="str">
        <f t="shared" si="1"/>
        <v>E</v>
      </c>
      <c r="I27" s="5"/>
    </row>
    <row r="28" spans="1:9" ht="21.75" customHeight="1">
      <c r="A28" s="3">
        <v>24</v>
      </c>
      <c r="B28" s="29" t="s">
        <v>43</v>
      </c>
      <c r="C28" s="27" t="s">
        <v>26</v>
      </c>
      <c r="D28" s="37" t="str">
        <f t="shared" si="0"/>
        <v>A</v>
      </c>
      <c r="E28" s="33" t="s">
        <v>95</v>
      </c>
      <c r="F28" s="41" t="s">
        <v>139</v>
      </c>
      <c r="G28" s="32" t="s">
        <v>183</v>
      </c>
      <c r="H28" s="10" t="str">
        <f t="shared" si="1"/>
        <v>D</v>
      </c>
      <c r="I28" s="5"/>
    </row>
    <row r="29" spans="1:9" ht="21.75" customHeight="1">
      <c r="A29" s="3">
        <v>25</v>
      </c>
      <c r="B29" s="29" t="s">
        <v>44</v>
      </c>
      <c r="C29" s="27" t="s">
        <v>26</v>
      </c>
      <c r="D29" s="37" t="str">
        <f t="shared" si="0"/>
        <v>A</v>
      </c>
      <c r="E29" s="33" t="s">
        <v>96</v>
      </c>
      <c r="F29" s="41" t="s">
        <v>140</v>
      </c>
      <c r="G29" s="32" t="s">
        <v>184</v>
      </c>
      <c r="H29" s="10" t="str">
        <f t="shared" si="1"/>
        <v>D</v>
      </c>
      <c r="I29" s="5"/>
    </row>
    <row r="30" spans="1:9" ht="21.75" customHeight="1">
      <c r="A30" s="3">
        <v>26</v>
      </c>
      <c r="B30" s="29" t="s">
        <v>45</v>
      </c>
      <c r="C30" s="27" t="s">
        <v>26</v>
      </c>
      <c r="D30" s="37" t="str">
        <f t="shared" si="0"/>
        <v>A</v>
      </c>
      <c r="E30" s="27" t="s">
        <v>97</v>
      </c>
      <c r="F30" s="27">
        <v>18046790178</v>
      </c>
      <c r="G30" s="45" t="s">
        <v>185</v>
      </c>
      <c r="H30" s="10" t="str">
        <f t="shared" si="1"/>
        <v>D</v>
      </c>
      <c r="I30" s="5"/>
    </row>
    <row r="31" spans="1:9" ht="21.75" customHeight="1">
      <c r="A31" s="3">
        <v>27</v>
      </c>
      <c r="B31" s="29" t="s">
        <v>46</v>
      </c>
      <c r="C31" s="27" t="s">
        <v>26</v>
      </c>
      <c r="D31" s="37" t="str">
        <f t="shared" si="0"/>
        <v>A</v>
      </c>
      <c r="E31" s="27" t="s">
        <v>98</v>
      </c>
      <c r="F31" s="41" t="s">
        <v>141</v>
      </c>
      <c r="G31" s="32" t="s">
        <v>186</v>
      </c>
      <c r="H31" s="10" t="str">
        <f t="shared" si="1"/>
        <v>D</v>
      </c>
      <c r="I31" s="5"/>
    </row>
    <row r="32" spans="1:9" ht="21.75" customHeight="1">
      <c r="A32" s="3">
        <v>28</v>
      </c>
      <c r="B32" s="29" t="s">
        <v>47</v>
      </c>
      <c r="C32" s="27" t="s">
        <v>26</v>
      </c>
      <c r="D32" s="37" t="str">
        <f t="shared" si="0"/>
        <v>A</v>
      </c>
      <c r="E32" s="27" t="s">
        <v>99</v>
      </c>
      <c r="F32" s="41" t="s">
        <v>142</v>
      </c>
      <c r="G32" s="32" t="s">
        <v>187</v>
      </c>
      <c r="H32" s="10" t="str">
        <f t="shared" si="1"/>
        <v>D</v>
      </c>
      <c r="I32" s="5"/>
    </row>
    <row r="33" spans="1:9" ht="21.75" customHeight="1">
      <c r="A33" s="3">
        <v>29</v>
      </c>
      <c r="B33" s="29" t="s">
        <v>48</v>
      </c>
      <c r="C33" s="27" t="s">
        <v>26</v>
      </c>
      <c r="D33" s="37" t="str">
        <f t="shared" si="0"/>
        <v>A</v>
      </c>
      <c r="E33" s="27" t="s">
        <v>100</v>
      </c>
      <c r="F33" s="41">
        <v>18110991127</v>
      </c>
      <c r="G33" s="32" t="s">
        <v>188</v>
      </c>
      <c r="H33" s="10" t="str">
        <f t="shared" si="1"/>
        <v>E</v>
      </c>
      <c r="I33" s="5"/>
    </row>
    <row r="34" spans="1:9" ht="21.75" customHeight="1">
      <c r="A34" s="3">
        <v>30</v>
      </c>
      <c r="B34" s="29" t="s">
        <v>49</v>
      </c>
      <c r="C34" s="27" t="s">
        <v>26</v>
      </c>
      <c r="D34" s="37" t="str">
        <f t="shared" si="0"/>
        <v>A</v>
      </c>
      <c r="E34" s="27" t="s">
        <v>101</v>
      </c>
      <c r="F34" s="41" t="s">
        <v>143</v>
      </c>
      <c r="G34" s="32" t="s">
        <v>189</v>
      </c>
      <c r="H34" s="10" t="str">
        <f t="shared" si="1"/>
        <v>D</v>
      </c>
      <c r="I34" s="5"/>
    </row>
    <row r="35" spans="1:9" ht="21.75" customHeight="1">
      <c r="A35" s="3">
        <v>31</v>
      </c>
      <c r="B35" s="29" t="s">
        <v>50</v>
      </c>
      <c r="C35" s="27" t="s">
        <v>26</v>
      </c>
      <c r="D35" s="37" t="str">
        <f t="shared" si="0"/>
        <v>A</v>
      </c>
      <c r="E35" s="27" t="s">
        <v>102</v>
      </c>
      <c r="F35" s="41" t="s">
        <v>144</v>
      </c>
      <c r="G35" s="32" t="s">
        <v>190</v>
      </c>
      <c r="H35" s="10" t="str">
        <f t="shared" si="1"/>
        <v>E</v>
      </c>
      <c r="I35" s="5"/>
    </row>
    <row r="36" spans="1:9" ht="21.75" customHeight="1">
      <c r="A36" s="3">
        <v>32</v>
      </c>
      <c r="B36" s="29" t="s">
        <v>51</v>
      </c>
      <c r="C36" s="27" t="s">
        <v>26</v>
      </c>
      <c r="D36" s="37" t="str">
        <f t="shared" si="0"/>
        <v>A</v>
      </c>
      <c r="E36" s="27" t="s">
        <v>103</v>
      </c>
      <c r="F36" s="41" t="s">
        <v>145</v>
      </c>
      <c r="G36" s="32" t="s">
        <v>191</v>
      </c>
      <c r="H36" s="10" t="str">
        <f t="shared" si="1"/>
        <v>D</v>
      </c>
      <c r="I36" s="5"/>
    </row>
    <row r="37" spans="1:9" ht="21.75" customHeight="1">
      <c r="A37" s="3">
        <v>33</v>
      </c>
      <c r="B37" s="29" t="s">
        <v>52</v>
      </c>
      <c r="C37" s="27" t="s">
        <v>26</v>
      </c>
      <c r="D37" s="37" t="str">
        <f t="shared" si="0"/>
        <v>A</v>
      </c>
      <c r="E37" s="27" t="s">
        <v>104</v>
      </c>
      <c r="F37" s="41" t="s">
        <v>146</v>
      </c>
      <c r="G37" s="32" t="s">
        <v>192</v>
      </c>
      <c r="H37" s="10" t="str">
        <f t="shared" si="1"/>
        <v>E</v>
      </c>
      <c r="I37" s="5"/>
    </row>
    <row r="38" spans="1:9" ht="21.75" customHeight="1">
      <c r="A38" s="3">
        <v>34</v>
      </c>
      <c r="B38" s="29" t="s">
        <v>53</v>
      </c>
      <c r="C38" s="27" t="s">
        <v>26</v>
      </c>
      <c r="D38" s="37" t="str">
        <f t="shared" si="0"/>
        <v>A</v>
      </c>
      <c r="E38" s="27" t="s">
        <v>105</v>
      </c>
      <c r="F38" s="41" t="s">
        <v>147</v>
      </c>
      <c r="G38" s="32" t="s">
        <v>193</v>
      </c>
      <c r="H38" s="10" t="str">
        <f t="shared" si="1"/>
        <v>D</v>
      </c>
      <c r="I38" s="5"/>
    </row>
    <row r="39" spans="1:9" ht="21.75" customHeight="1">
      <c r="A39" s="3">
        <v>35</v>
      </c>
      <c r="B39" s="29" t="s">
        <v>54</v>
      </c>
      <c r="C39" s="27" t="s">
        <v>26</v>
      </c>
      <c r="D39" s="37" t="str">
        <f t="shared" si="0"/>
        <v>A</v>
      </c>
      <c r="E39" s="33" t="s">
        <v>106</v>
      </c>
      <c r="F39" s="41" t="s">
        <v>148</v>
      </c>
      <c r="G39" s="46" t="s">
        <v>194</v>
      </c>
      <c r="H39" s="10" t="str">
        <f t="shared" si="1"/>
        <v>D</v>
      </c>
      <c r="I39" s="5"/>
    </row>
    <row r="40" spans="1:9" ht="21.75" customHeight="1">
      <c r="A40" s="3">
        <v>36</v>
      </c>
      <c r="B40" s="29" t="s">
        <v>55</v>
      </c>
      <c r="C40" s="27" t="s">
        <v>26</v>
      </c>
      <c r="D40" s="37" t="str">
        <f t="shared" si="0"/>
        <v>A</v>
      </c>
      <c r="E40" s="33" t="s">
        <v>107</v>
      </c>
      <c r="F40" s="42">
        <v>18879989132</v>
      </c>
      <c r="G40" s="32" t="s">
        <v>195</v>
      </c>
      <c r="H40" s="10" t="str">
        <f t="shared" si="1"/>
        <v>E</v>
      </c>
      <c r="I40" s="5"/>
    </row>
    <row r="41" spans="1:9" ht="21.75" customHeight="1">
      <c r="A41" s="3">
        <v>37</v>
      </c>
      <c r="B41" s="29" t="s">
        <v>56</v>
      </c>
      <c r="C41" s="27" t="s">
        <v>26</v>
      </c>
      <c r="D41" s="37" t="str">
        <f t="shared" si="0"/>
        <v>A</v>
      </c>
      <c r="E41" s="33" t="s">
        <v>108</v>
      </c>
      <c r="F41" s="41" t="s">
        <v>149</v>
      </c>
      <c r="G41" s="32" t="s">
        <v>196</v>
      </c>
      <c r="H41" s="10" t="str">
        <f t="shared" si="1"/>
        <v>E</v>
      </c>
      <c r="I41" s="5"/>
    </row>
    <row r="42" spans="1:9" ht="21.75" customHeight="1">
      <c r="A42" s="3">
        <v>38</v>
      </c>
      <c r="B42" s="28" t="s">
        <v>57</v>
      </c>
      <c r="C42" s="30" t="s">
        <v>26</v>
      </c>
      <c r="D42" s="37" t="str">
        <f t="shared" si="0"/>
        <v>A</v>
      </c>
      <c r="E42" s="34" t="s">
        <v>109</v>
      </c>
      <c r="F42" s="41">
        <v>13635920195</v>
      </c>
      <c r="G42" s="46" t="s">
        <v>197</v>
      </c>
      <c r="H42" s="10" t="str">
        <f t="shared" si="1"/>
        <v>E</v>
      </c>
      <c r="I42" s="5"/>
    </row>
    <row r="43" spans="1:9" ht="21.75" customHeight="1">
      <c r="A43" s="3">
        <v>39</v>
      </c>
      <c r="B43" s="28" t="s">
        <v>58</v>
      </c>
      <c r="C43" s="30" t="s">
        <v>26</v>
      </c>
      <c r="D43" s="37" t="str">
        <f t="shared" si="0"/>
        <v>A</v>
      </c>
      <c r="E43" s="34" t="s">
        <v>110</v>
      </c>
      <c r="F43" s="41" t="s">
        <v>150</v>
      </c>
      <c r="G43" s="32" t="s">
        <v>198</v>
      </c>
      <c r="H43" s="10" t="str">
        <f t="shared" si="1"/>
        <v>E</v>
      </c>
      <c r="I43" s="5"/>
    </row>
    <row r="44" spans="1:9" ht="21.75" customHeight="1">
      <c r="A44" s="3">
        <v>40</v>
      </c>
      <c r="B44" s="29" t="s">
        <v>59</v>
      </c>
      <c r="C44" s="27" t="s">
        <v>26</v>
      </c>
      <c r="D44" s="37" t="str">
        <f t="shared" si="0"/>
        <v>A</v>
      </c>
      <c r="E44" s="27" t="s">
        <v>111</v>
      </c>
      <c r="F44" s="27">
        <v>18979981735</v>
      </c>
      <c r="G44" s="45" t="s">
        <v>199</v>
      </c>
      <c r="H44" s="10" t="str">
        <f t="shared" si="1"/>
        <v>D</v>
      </c>
      <c r="I44" s="5"/>
    </row>
    <row r="45" spans="1:9" ht="21.75" customHeight="1">
      <c r="A45" s="3">
        <v>41</v>
      </c>
      <c r="B45" s="29" t="s">
        <v>60</v>
      </c>
      <c r="C45" s="27" t="s">
        <v>26</v>
      </c>
      <c r="D45" s="37" t="str">
        <f t="shared" si="0"/>
        <v>A</v>
      </c>
      <c r="E45" s="27" t="s">
        <v>112</v>
      </c>
      <c r="F45" s="43" t="s">
        <v>151</v>
      </c>
      <c r="G45" s="32" t="s">
        <v>200</v>
      </c>
      <c r="H45" s="10" t="str">
        <f t="shared" si="1"/>
        <v>E</v>
      </c>
      <c r="I45" s="5"/>
    </row>
    <row r="46" spans="1:9" ht="21.75" customHeight="1">
      <c r="A46" s="3">
        <v>42</v>
      </c>
      <c r="B46" s="29" t="s">
        <v>61</v>
      </c>
      <c r="C46" s="27" t="s">
        <v>26</v>
      </c>
      <c r="D46" s="37" t="str">
        <f t="shared" si="0"/>
        <v>A</v>
      </c>
      <c r="E46" s="27" t="s">
        <v>113</v>
      </c>
      <c r="F46" s="41" t="s">
        <v>152</v>
      </c>
      <c r="G46" s="32" t="s">
        <v>201</v>
      </c>
      <c r="H46" s="10" t="str">
        <f t="shared" si="1"/>
        <v>E</v>
      </c>
      <c r="I46" s="5"/>
    </row>
    <row r="47" spans="1:9" ht="21.75" customHeight="1">
      <c r="A47" s="3">
        <v>43</v>
      </c>
      <c r="B47" s="28" t="s">
        <v>62</v>
      </c>
      <c r="C47" s="30" t="s">
        <v>26</v>
      </c>
      <c r="D47" s="37" t="str">
        <f t="shared" si="0"/>
        <v>A</v>
      </c>
      <c r="E47" s="30" t="s">
        <v>114</v>
      </c>
      <c r="F47" s="41" t="s">
        <v>153</v>
      </c>
      <c r="G47" s="46" t="s">
        <v>202</v>
      </c>
      <c r="H47" s="10" t="str">
        <f t="shared" si="1"/>
        <v>E</v>
      </c>
      <c r="I47" s="5"/>
    </row>
    <row r="48" spans="1:9" ht="21.75" customHeight="1">
      <c r="A48" s="3">
        <v>44</v>
      </c>
      <c r="B48" s="28" t="s">
        <v>63</v>
      </c>
      <c r="C48" s="27" t="s">
        <v>26</v>
      </c>
      <c r="D48" s="37" t="str">
        <f t="shared" si="0"/>
        <v>A</v>
      </c>
      <c r="E48" s="27" t="s">
        <v>115</v>
      </c>
      <c r="F48" s="27" t="s">
        <v>154</v>
      </c>
      <c r="G48" s="45" t="s">
        <v>203</v>
      </c>
      <c r="H48" s="10" t="str">
        <f t="shared" si="1"/>
        <v>E</v>
      </c>
      <c r="I48" s="5"/>
    </row>
    <row r="49" spans="1:9" ht="21.75" customHeight="1">
      <c r="A49" s="3">
        <v>45</v>
      </c>
      <c r="B49" s="29" t="s">
        <v>64</v>
      </c>
      <c r="C49" s="27" t="s">
        <v>26</v>
      </c>
      <c r="D49" s="37" t="str">
        <f t="shared" si="0"/>
        <v>A</v>
      </c>
      <c r="E49" s="33" t="s">
        <v>116</v>
      </c>
      <c r="F49" s="41">
        <v>15970720274</v>
      </c>
      <c r="G49" s="32" t="s">
        <v>204</v>
      </c>
      <c r="H49" s="10" t="str">
        <f t="shared" si="1"/>
        <v>E</v>
      </c>
      <c r="I49" s="5"/>
    </row>
    <row r="50" spans="1:9" ht="21.75" customHeight="1">
      <c r="A50" s="3">
        <v>46</v>
      </c>
      <c r="B50" s="29" t="s">
        <v>65</v>
      </c>
      <c r="C50" s="31" t="s">
        <v>26</v>
      </c>
      <c r="D50" s="37" t="str">
        <f t="shared" si="0"/>
        <v>A</v>
      </c>
      <c r="E50" s="31" t="s">
        <v>117</v>
      </c>
      <c r="F50" s="43">
        <v>18307067375</v>
      </c>
      <c r="G50" s="32" t="s">
        <v>205</v>
      </c>
      <c r="H50" s="10" t="str">
        <f t="shared" si="1"/>
        <v>E</v>
      </c>
      <c r="I50" s="5"/>
    </row>
    <row r="51" spans="1:9" ht="21.75" customHeight="1">
      <c r="A51" s="3">
        <v>47</v>
      </c>
      <c r="B51" s="29" t="s">
        <v>66</v>
      </c>
      <c r="C51" s="27" t="s">
        <v>26</v>
      </c>
      <c r="D51" s="37" t="str">
        <f t="shared" si="0"/>
        <v>A</v>
      </c>
      <c r="E51" s="27" t="s">
        <v>118</v>
      </c>
      <c r="F51" s="27" t="s">
        <v>155</v>
      </c>
      <c r="G51" s="45" t="s">
        <v>206</v>
      </c>
      <c r="H51" s="10" t="str">
        <f t="shared" si="1"/>
        <v>E</v>
      </c>
      <c r="I51" s="5"/>
    </row>
    <row r="52" spans="1:9" ht="21.75" customHeight="1">
      <c r="A52" s="3">
        <v>48</v>
      </c>
      <c r="B52" s="29" t="s">
        <v>67</v>
      </c>
      <c r="C52" s="27" t="s">
        <v>26</v>
      </c>
      <c r="D52" s="37" t="str">
        <f t="shared" si="0"/>
        <v>A</v>
      </c>
      <c r="E52" s="33" t="s">
        <v>119</v>
      </c>
      <c r="F52" s="42">
        <v>17870043671</v>
      </c>
      <c r="G52" s="32" t="s">
        <v>207</v>
      </c>
      <c r="H52" s="10" t="str">
        <f t="shared" si="1"/>
        <v>E</v>
      </c>
      <c r="I52" s="5"/>
    </row>
    <row r="53" spans="1:9" ht="21.75" customHeight="1">
      <c r="A53" s="3">
        <v>49</v>
      </c>
      <c r="B53" s="28" t="s">
        <v>68</v>
      </c>
      <c r="C53" s="30" t="s">
        <v>26</v>
      </c>
      <c r="D53" s="37" t="str">
        <f t="shared" si="0"/>
        <v>A</v>
      </c>
      <c r="E53" s="30" t="s">
        <v>120</v>
      </c>
      <c r="F53" s="30" t="s">
        <v>156</v>
      </c>
      <c r="G53" s="46" t="s">
        <v>208</v>
      </c>
      <c r="H53" s="10" t="str">
        <f t="shared" si="1"/>
        <v>E</v>
      </c>
      <c r="I53" s="5"/>
    </row>
    <row r="54" spans="1:9" ht="21.75" customHeight="1">
      <c r="A54" s="3">
        <v>50</v>
      </c>
      <c r="B54" s="29" t="s">
        <v>69</v>
      </c>
      <c r="C54" s="27" t="s">
        <v>26</v>
      </c>
      <c r="D54" s="37" t="str">
        <f t="shared" si="0"/>
        <v>A</v>
      </c>
      <c r="E54" s="27" t="s">
        <v>121</v>
      </c>
      <c r="F54" s="27" t="s">
        <v>157</v>
      </c>
      <c r="G54" s="45" t="s">
        <v>209</v>
      </c>
      <c r="H54" s="10" t="str">
        <f t="shared" si="1"/>
        <v>E</v>
      </c>
      <c r="I54" s="5"/>
    </row>
    <row r="55" spans="1:9" ht="21.75" customHeight="1">
      <c r="A55" s="3">
        <v>51</v>
      </c>
      <c r="B55" s="29" t="s">
        <v>70</v>
      </c>
      <c r="C55" s="27" t="s">
        <v>26</v>
      </c>
      <c r="D55" s="37" t="str">
        <f t="shared" si="0"/>
        <v>A</v>
      </c>
      <c r="E55" s="27" t="s">
        <v>122</v>
      </c>
      <c r="F55" s="41" t="s">
        <v>158</v>
      </c>
      <c r="G55" s="32" t="s">
        <v>210</v>
      </c>
      <c r="H55" s="10" t="str">
        <f t="shared" si="1"/>
        <v>D</v>
      </c>
      <c r="I55" s="5"/>
    </row>
    <row r="56" spans="1:9" ht="21.75" customHeight="1">
      <c r="A56" s="3">
        <v>52</v>
      </c>
      <c r="B56" s="29" t="s">
        <v>71</v>
      </c>
      <c r="C56" s="32" t="s">
        <v>26</v>
      </c>
      <c r="D56" s="37" t="str">
        <f t="shared" si="0"/>
        <v>A</v>
      </c>
      <c r="E56" s="32" t="s">
        <v>123</v>
      </c>
      <c r="F56" s="32" t="s">
        <v>159</v>
      </c>
      <c r="G56" s="32" t="s">
        <v>211</v>
      </c>
      <c r="H56" s="10" t="str">
        <f t="shared" si="1"/>
        <v>E</v>
      </c>
      <c r="I56" s="5"/>
    </row>
    <row r="57" spans="1:9" ht="21.75" customHeight="1">
      <c r="A57" s="3">
        <v>53</v>
      </c>
      <c r="B57" s="3"/>
      <c r="C57" s="3"/>
      <c r="D57" s="38"/>
      <c r="E57" s="3"/>
      <c r="F57" s="3"/>
      <c r="G57" s="2"/>
      <c r="H57" s="2"/>
      <c r="I57" s="5"/>
    </row>
    <row r="58" spans="1:9" ht="21.75" customHeight="1">
      <c r="A58" s="3">
        <v>54</v>
      </c>
      <c r="B58" s="3"/>
      <c r="C58" s="3"/>
      <c r="D58" s="38"/>
      <c r="E58" s="3"/>
      <c r="F58" s="3"/>
      <c r="G58" s="2"/>
      <c r="H58" s="2"/>
      <c r="I58" s="5"/>
    </row>
    <row r="59" spans="1:9" ht="21.75" customHeight="1">
      <c r="A59" s="3">
        <v>55</v>
      </c>
      <c r="B59" s="3"/>
      <c r="C59" s="3"/>
      <c r="D59" s="38"/>
      <c r="E59" s="3"/>
      <c r="F59" s="3"/>
      <c r="G59" s="2"/>
      <c r="H59" s="2"/>
      <c r="I59" s="5"/>
    </row>
    <row r="60" spans="1:9" ht="21.75" customHeight="1">
      <c r="A60" s="3">
        <v>56</v>
      </c>
      <c r="B60" s="3"/>
      <c r="C60" s="3"/>
      <c r="D60" s="38"/>
      <c r="E60" s="3"/>
      <c r="F60" s="3"/>
      <c r="G60" s="2"/>
      <c r="H60" s="2"/>
      <c r="I60" s="5"/>
    </row>
    <row r="61" spans="1:9" ht="21.75" customHeight="1">
      <c r="A61" s="3">
        <v>57</v>
      </c>
      <c r="B61" s="3"/>
      <c r="C61" s="3"/>
      <c r="D61" s="38"/>
      <c r="E61" s="3"/>
      <c r="F61" s="3"/>
      <c r="G61" s="2"/>
      <c r="H61" s="2"/>
      <c r="I61" s="5"/>
    </row>
    <row r="62" spans="1:9" ht="21" customHeight="1">
      <c r="A62" s="15" t="s">
        <v>13</v>
      </c>
      <c r="B62" s="16"/>
      <c r="C62" s="16"/>
      <c r="D62" s="16"/>
      <c r="E62" s="16"/>
      <c r="F62" s="16"/>
      <c r="G62" s="16"/>
      <c r="H62" s="16"/>
      <c r="I62" s="4"/>
    </row>
    <row r="63" spans="1:9" ht="26.25" customHeight="1">
      <c r="A63" s="17" t="s">
        <v>17</v>
      </c>
      <c r="B63" s="18"/>
      <c r="C63" s="18"/>
      <c r="D63" s="18"/>
      <c r="E63" s="18"/>
      <c r="F63" s="18"/>
      <c r="G63" s="18"/>
      <c r="H63" s="18"/>
      <c r="I63" s="18"/>
    </row>
    <row r="64" spans="1:9" ht="22.5" customHeight="1">
      <c r="A64" s="19" t="s">
        <v>14</v>
      </c>
      <c r="B64" s="20"/>
      <c r="C64" s="20"/>
      <c r="D64" s="20"/>
      <c r="E64" s="20"/>
      <c r="F64" s="20"/>
      <c r="G64" s="20"/>
      <c r="H64" s="20"/>
      <c r="I64" s="4"/>
    </row>
    <row r="65" spans="1:13" ht="22.5" customHeight="1">
      <c r="A65" s="11" t="s">
        <v>15</v>
      </c>
      <c r="B65" s="11"/>
      <c r="C65" s="11"/>
      <c r="D65" s="11"/>
      <c r="E65" s="11"/>
      <c r="F65" s="11"/>
      <c r="G65" s="11"/>
      <c r="H65" s="11"/>
      <c r="I65" s="11"/>
      <c r="M65" s="6"/>
    </row>
  </sheetData>
  <mergeCells count="13">
    <mergeCell ref="A65:I65"/>
    <mergeCell ref="A1:H1"/>
    <mergeCell ref="B2:I2"/>
    <mergeCell ref="A62:H62"/>
    <mergeCell ref="A63:I63"/>
    <mergeCell ref="A64:H64"/>
    <mergeCell ref="I3:I4"/>
    <mergeCell ref="A3:A4"/>
    <mergeCell ref="B3:B4"/>
    <mergeCell ref="C3:C4"/>
    <mergeCell ref="E3:E4"/>
    <mergeCell ref="F3:F4"/>
    <mergeCell ref="G3:G4"/>
  </mergeCells>
  <phoneticPr fontId="6" type="noConversion"/>
  <dataValidations count="1">
    <dataValidation type="list" allowBlank="1" showInputMessage="1" showErrorMessage="1" sqref="C24:C54 C5:C17" xr:uid="{5733EE03-C6C8-466C-89A4-2974A745A85B}">
      <formula1>"男,女"</formula1>
    </dataValidation>
  </dataValidations>
  <pageMargins left="0.70866141732283505" right="0.70866141732283505" top="0.35433070866141703" bottom="0.35433070866141703" header="0.31496062992126" footer="0.31496062992126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/>
  <sheetData/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/>
  <sheetData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Xing</cp:lastModifiedBy>
  <cp:lastPrinted>2021-03-26T03:48:50Z</cp:lastPrinted>
  <dcterms:created xsi:type="dcterms:W3CDTF">2020-12-20T02:39:00Z</dcterms:created>
  <dcterms:modified xsi:type="dcterms:W3CDTF">2021-03-30T08:39:43Z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6A4921CA91E243E684EA562903FA5A2A</vt:lpwstr>
  </property>
</Properties>
</file>