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D:\Student\"/>
    </mc:Choice>
  </mc:AlternateContent>
  <xr:revisionPtr revIDLastSave="0" documentId="13_ncr:1_{6610F8CD-11A1-4CE9-868D-2D60ABCE9A72}" xr6:coauthVersionLast="46" xr6:coauthVersionMax="46" xr10:uidLastSave="{00000000-0000-0000-0000-000000000000}"/>
  <bookViews>
    <workbookView xWindow="-110" yWindow="-110" windowWidth="19420" windowHeight="10420" activeTab="4" xr2:uid="{00000000-000D-0000-FFFF-FFFF00000000}"/>
  </bookViews>
  <sheets>
    <sheet name="总课表" sheetId="8" r:id="rId1"/>
    <sheet name="单班课表" sheetId="6" r:id="rId2"/>
    <sheet name="教师个人课程表" sheetId="9" r:id="rId3"/>
    <sheet name="教师姓名" sheetId="10" r:id="rId4"/>
    <sheet name="周历" sheetId="15" r:id="rId5"/>
    <sheet name="Sheet1" sheetId="14" r:id="rId6"/>
  </sheets>
  <definedNames>
    <definedName name="_xlnm._FilterDatabase" localSheetId="4" hidden="1">周历!$A$1:$X$238</definedName>
    <definedName name="_xlnm._FilterDatabase" localSheetId="0" hidden="1">总课表!$A$1:$V$30</definedName>
    <definedName name="demo" localSheetId="4">#REF!</definedName>
    <definedName name="demo">#REF!</definedName>
    <definedName name="wenjian" localSheetId="4">#REF!</definedName>
    <definedName name="wenjian">#REF!</definedName>
    <definedName name="教师总课程表" localSheetId="4">#REF!</definedName>
    <definedName name="教师总课程表">#REF!</definedName>
    <definedName name="未设置课程表" localSheetId="4">#REF!</definedName>
    <definedName name="未设置课程表">#REF!</definedName>
    <definedName name="总课程表" localSheetId="4">#REF!</definedName>
    <definedName name="总课程表">#REF!</definedName>
  </definedNames>
  <calcPr calcId="181029"/>
</workbook>
</file>

<file path=xl/calcChain.xml><?xml version="1.0" encoding="utf-8"?>
<calcChain xmlns="http://schemas.openxmlformats.org/spreadsheetml/2006/main">
  <c r="J27" i="14" l="1"/>
  <c r="I27" i="14"/>
  <c r="H27" i="14"/>
  <c r="G27" i="14"/>
  <c r="B27" i="14"/>
  <c r="J26" i="14"/>
  <c r="I26" i="14"/>
  <c r="H26" i="14"/>
  <c r="G26" i="14"/>
  <c r="B26" i="14"/>
  <c r="J25" i="14"/>
  <c r="I25" i="14"/>
  <c r="H25" i="14"/>
  <c r="G25" i="14"/>
  <c r="B25" i="14"/>
  <c r="J24" i="14"/>
  <c r="I24" i="14"/>
  <c r="H24" i="14"/>
  <c r="G24" i="14"/>
  <c r="B24" i="14"/>
  <c r="J23" i="14"/>
  <c r="I23" i="14"/>
  <c r="H23" i="14"/>
  <c r="G23" i="14"/>
  <c r="B23" i="14"/>
  <c r="J22" i="14"/>
  <c r="I22" i="14"/>
  <c r="H22" i="14"/>
  <c r="G22" i="14"/>
  <c r="B22" i="14"/>
  <c r="J21" i="14"/>
  <c r="I21" i="14"/>
  <c r="H21" i="14"/>
  <c r="G21" i="14"/>
  <c r="B21" i="14"/>
  <c r="J20" i="14"/>
  <c r="I20" i="14"/>
  <c r="H20" i="14"/>
  <c r="G20" i="14"/>
  <c r="B20" i="14"/>
  <c r="J19" i="14"/>
  <c r="I19" i="14"/>
  <c r="H19" i="14"/>
  <c r="G19" i="14"/>
  <c r="B19" i="14"/>
  <c r="J18" i="14"/>
  <c r="I18" i="14"/>
  <c r="H18" i="14"/>
  <c r="G18" i="14"/>
  <c r="B18" i="14"/>
  <c r="J17" i="14"/>
  <c r="I17" i="14"/>
  <c r="H17" i="14"/>
  <c r="G17" i="14"/>
  <c r="B17" i="14"/>
  <c r="J16" i="14"/>
  <c r="I16" i="14"/>
  <c r="H16" i="14"/>
  <c r="G16" i="14"/>
  <c r="B16" i="14"/>
  <c r="J15" i="14"/>
  <c r="I15" i="14"/>
  <c r="H15" i="14"/>
  <c r="G15" i="14"/>
  <c r="B15" i="14"/>
  <c r="J14" i="14"/>
  <c r="H14" i="14"/>
  <c r="G14" i="14"/>
  <c r="B14" i="14"/>
  <c r="G13" i="14"/>
  <c r="B13" i="14"/>
  <c r="I12" i="14"/>
  <c r="H12" i="14"/>
  <c r="G12" i="14"/>
  <c r="B12" i="14"/>
  <c r="J11" i="14"/>
  <c r="I11" i="14"/>
  <c r="H11" i="14"/>
  <c r="B11" i="14"/>
  <c r="J10" i="14"/>
  <c r="H10" i="14"/>
  <c r="G10" i="14"/>
  <c r="B10" i="14"/>
  <c r="I9" i="14"/>
  <c r="B9" i="14"/>
  <c r="J8" i="14"/>
  <c r="I8" i="14"/>
  <c r="H8" i="14"/>
  <c r="G8" i="14"/>
  <c r="B8" i="14"/>
  <c r="J7" i="14"/>
  <c r="I7" i="14"/>
  <c r="H7" i="14"/>
  <c r="G7" i="14"/>
  <c r="B7" i="14"/>
  <c r="J6" i="14"/>
  <c r="I6" i="14"/>
  <c r="H6" i="14"/>
  <c r="G6" i="14"/>
  <c r="B6" i="14"/>
  <c r="J5" i="14"/>
  <c r="I5" i="14"/>
  <c r="H5" i="14"/>
  <c r="G5" i="14"/>
  <c r="B5" i="14"/>
  <c r="J4" i="14"/>
  <c r="I4" i="14"/>
  <c r="H4" i="14"/>
  <c r="G4" i="14"/>
  <c r="B4" i="14"/>
  <c r="J3" i="14"/>
  <c r="I3" i="14"/>
  <c r="H3" i="14"/>
  <c r="G3" i="14"/>
  <c r="B3" i="14"/>
  <c r="J2" i="14"/>
  <c r="I2" i="14"/>
  <c r="H2" i="14"/>
  <c r="G2" i="14"/>
  <c r="B2" i="14"/>
  <c r="J1" i="14"/>
  <c r="I1" i="14"/>
  <c r="H1" i="14"/>
  <c r="G1" i="14"/>
  <c r="B1" i="14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B29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B28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B26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B25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B24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B23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B22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B21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B20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B19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B18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B17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B16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B14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B10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B9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B8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B7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B6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B5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B4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B3" i="9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2" i="6"/>
</calcChain>
</file>

<file path=xl/sharedStrings.xml><?xml version="1.0" encoding="utf-8"?>
<sst xmlns="http://schemas.openxmlformats.org/spreadsheetml/2006/main" count="1723" uniqueCount="541">
  <si>
    <r>
      <rPr>
        <b/>
        <sz val="16"/>
        <rFont val="Times New Roman"/>
        <family val="1"/>
      </rPr>
      <t>2020-2021</t>
    </r>
    <r>
      <rPr>
        <b/>
        <sz val="16"/>
        <rFont val="宋体"/>
        <charset val="134"/>
      </rPr>
      <t>学年</t>
    </r>
    <r>
      <rPr>
        <b/>
        <sz val="16"/>
        <rFont val="Times New Roman"/>
        <family val="1"/>
      </rPr>
      <t>18</t>
    </r>
    <r>
      <rPr>
        <b/>
        <sz val="16"/>
        <rFont val="宋体"/>
        <charset val="134"/>
      </rPr>
      <t>、</t>
    </r>
    <r>
      <rPr>
        <b/>
        <sz val="16"/>
        <rFont val="Times New Roman"/>
        <family val="1"/>
      </rPr>
      <t>19</t>
    </r>
    <r>
      <rPr>
        <b/>
        <sz val="16"/>
        <rFont val="宋体"/>
        <charset val="134"/>
      </rPr>
      <t>、</t>
    </r>
    <r>
      <rPr>
        <b/>
        <sz val="16"/>
        <rFont val="Times New Roman"/>
        <family val="1"/>
      </rPr>
      <t>20</t>
    </r>
    <r>
      <rPr>
        <b/>
        <sz val="16"/>
        <rFont val="宋体"/>
        <charset val="134"/>
      </rPr>
      <t>级第二学期总课表（下埠教学点）</t>
    </r>
    <r>
      <rPr>
        <b/>
        <sz val="16"/>
        <rFont val="Times New Roman"/>
        <family val="1"/>
      </rPr>
      <t xml:space="preserve"> 
</t>
    </r>
    <r>
      <rPr>
        <b/>
        <sz val="14"/>
        <color theme="1"/>
        <rFont val="宋体"/>
        <charset val="134"/>
      </rPr>
      <t>（第</t>
    </r>
    <r>
      <rPr>
        <b/>
        <sz val="14"/>
        <color theme="1"/>
        <rFont val="Times New Roman"/>
        <family val="1"/>
      </rPr>
      <t>1</t>
    </r>
    <r>
      <rPr>
        <b/>
        <sz val="14"/>
        <color theme="1"/>
        <rFont val="宋体"/>
        <charset val="134"/>
      </rPr>
      <t>节</t>
    </r>
    <r>
      <rPr>
        <b/>
        <sz val="14"/>
        <color theme="1"/>
        <rFont val="Times New Roman"/>
        <family val="1"/>
      </rPr>
      <t xml:space="preserve"> 8:10-8:55  </t>
    </r>
    <r>
      <rPr>
        <b/>
        <sz val="14"/>
        <color theme="1"/>
        <rFont val="宋体"/>
        <charset val="134"/>
      </rPr>
      <t>第</t>
    </r>
    <r>
      <rPr>
        <b/>
        <sz val="14"/>
        <color theme="1"/>
        <rFont val="Times New Roman"/>
        <family val="1"/>
      </rPr>
      <t>2</t>
    </r>
    <r>
      <rPr>
        <b/>
        <sz val="14"/>
        <color theme="1"/>
        <rFont val="宋体"/>
        <charset val="134"/>
      </rPr>
      <t>节</t>
    </r>
    <r>
      <rPr>
        <b/>
        <sz val="14"/>
        <color theme="1"/>
        <rFont val="Times New Roman"/>
        <family val="1"/>
      </rPr>
      <t xml:space="preserve"> 9:05-9:50 </t>
    </r>
    <r>
      <rPr>
        <b/>
        <sz val="14"/>
        <color rgb="FFFF0000"/>
        <rFont val="宋体"/>
        <charset val="134"/>
      </rPr>
      <t>第</t>
    </r>
    <r>
      <rPr>
        <b/>
        <sz val="14"/>
        <color rgb="FFFF0000"/>
        <rFont val="Times New Roman"/>
        <family val="1"/>
      </rPr>
      <t>3</t>
    </r>
    <r>
      <rPr>
        <b/>
        <sz val="14"/>
        <color rgb="FFFF0000"/>
        <rFont val="宋体"/>
        <charset val="134"/>
      </rPr>
      <t>节</t>
    </r>
    <r>
      <rPr>
        <b/>
        <sz val="14"/>
        <color rgb="FFFF0000"/>
        <rFont val="Times New Roman"/>
        <family val="1"/>
      </rPr>
      <t xml:space="preserve">  </t>
    </r>
    <r>
      <rPr>
        <b/>
        <sz val="14"/>
        <color rgb="FFFF0000"/>
        <rFont val="宋体"/>
        <charset val="134"/>
      </rPr>
      <t>映荷楼（</t>
    </r>
    <r>
      <rPr>
        <b/>
        <sz val="14"/>
        <color rgb="FFFF0000"/>
        <rFont val="Times New Roman"/>
        <family val="1"/>
      </rPr>
      <t>10:05-10:50</t>
    </r>
    <r>
      <rPr>
        <b/>
        <sz val="14"/>
        <color rgb="FFFF0000"/>
        <rFont val="宋体"/>
        <charset val="134"/>
      </rPr>
      <t>）</t>
    </r>
    <r>
      <rPr>
        <b/>
        <sz val="14"/>
        <color rgb="FFFF0000"/>
        <rFont val="Times New Roman"/>
        <family val="1"/>
      </rPr>
      <t xml:space="preserve"> </t>
    </r>
    <r>
      <rPr>
        <b/>
        <sz val="14"/>
        <color rgb="FFFF0000"/>
        <rFont val="宋体"/>
        <charset val="134"/>
      </rPr>
      <t>践行楼（</t>
    </r>
    <r>
      <rPr>
        <b/>
        <sz val="14"/>
        <color rgb="FFFF0000"/>
        <rFont val="Times New Roman"/>
        <family val="1"/>
      </rPr>
      <t>10:20-11:05</t>
    </r>
    <r>
      <rPr>
        <b/>
        <sz val="14"/>
        <color rgb="FFFF0000"/>
        <rFont val="宋体"/>
        <charset val="134"/>
      </rPr>
      <t>）</t>
    </r>
    <r>
      <rPr>
        <b/>
        <sz val="14"/>
        <color rgb="FFFF0000"/>
        <rFont val="Times New Roman"/>
        <family val="1"/>
      </rPr>
      <t xml:space="preserve"> </t>
    </r>
    <r>
      <rPr>
        <b/>
        <sz val="14"/>
        <color rgb="FFFF0000"/>
        <rFont val="宋体"/>
        <charset val="134"/>
      </rPr>
      <t>第</t>
    </r>
    <r>
      <rPr>
        <b/>
        <sz val="14"/>
        <color rgb="FFFF0000"/>
        <rFont val="Times New Roman"/>
        <family val="1"/>
      </rPr>
      <t>4</t>
    </r>
    <r>
      <rPr>
        <b/>
        <sz val="14"/>
        <color rgb="FFFF0000"/>
        <rFont val="宋体"/>
        <charset val="134"/>
      </rPr>
      <t>节</t>
    </r>
    <r>
      <rPr>
        <b/>
        <sz val="14"/>
        <color rgb="FFFF0000"/>
        <rFont val="Times New Roman"/>
        <family val="1"/>
      </rPr>
      <t xml:space="preserve">  </t>
    </r>
    <r>
      <rPr>
        <b/>
        <sz val="14"/>
        <color rgb="FFFF0000"/>
        <rFont val="宋体"/>
        <charset val="134"/>
      </rPr>
      <t>映荷楼（</t>
    </r>
    <r>
      <rPr>
        <b/>
        <sz val="14"/>
        <color rgb="FFFF0000"/>
        <rFont val="Times New Roman"/>
        <family val="1"/>
      </rPr>
      <t>11:00-11:45</t>
    </r>
    <r>
      <rPr>
        <b/>
        <sz val="14"/>
        <color rgb="FFFF0000"/>
        <rFont val="宋体"/>
        <charset val="134"/>
      </rPr>
      <t>）</t>
    </r>
    <r>
      <rPr>
        <b/>
        <sz val="14"/>
        <color rgb="FFFF0000"/>
        <rFont val="Times New Roman"/>
        <family val="1"/>
      </rPr>
      <t xml:space="preserve"> </t>
    </r>
    <r>
      <rPr>
        <b/>
        <sz val="14"/>
        <color rgb="FFFF0000"/>
        <rFont val="宋体"/>
        <charset val="134"/>
      </rPr>
      <t>践行楼（</t>
    </r>
    <r>
      <rPr>
        <b/>
        <sz val="14"/>
        <color rgb="FFFF0000"/>
        <rFont val="Times New Roman"/>
        <family val="1"/>
      </rPr>
      <t xml:space="preserve">11:15-12:00 </t>
    </r>
    <r>
      <rPr>
        <b/>
        <sz val="14"/>
        <color rgb="FFFF0000"/>
        <rFont val="宋体"/>
        <charset val="134"/>
      </rPr>
      <t>）</t>
    </r>
    <r>
      <rPr>
        <b/>
        <sz val="14"/>
        <color theme="1"/>
        <rFont val="Times New Roman"/>
        <family val="1"/>
      </rPr>
      <t xml:space="preserve"> </t>
    </r>
    <r>
      <rPr>
        <b/>
        <sz val="14"/>
        <color theme="1"/>
        <rFont val="宋体"/>
        <charset val="134"/>
      </rPr>
      <t>第</t>
    </r>
    <r>
      <rPr>
        <b/>
        <sz val="14"/>
        <color theme="1"/>
        <rFont val="Times New Roman"/>
        <family val="1"/>
      </rPr>
      <t>5</t>
    </r>
    <r>
      <rPr>
        <b/>
        <sz val="14"/>
        <color theme="1"/>
        <rFont val="宋体"/>
        <charset val="134"/>
      </rPr>
      <t>节</t>
    </r>
    <r>
      <rPr>
        <b/>
        <sz val="14"/>
        <color theme="1"/>
        <rFont val="Times New Roman"/>
        <family val="1"/>
      </rPr>
      <t xml:space="preserve"> 14:10-14:55 </t>
    </r>
    <r>
      <rPr>
        <b/>
        <sz val="14"/>
        <color theme="1"/>
        <rFont val="宋体"/>
        <charset val="134"/>
      </rPr>
      <t>第</t>
    </r>
    <r>
      <rPr>
        <b/>
        <sz val="14"/>
        <color theme="1"/>
        <rFont val="Times New Roman"/>
        <family val="1"/>
      </rPr>
      <t>6</t>
    </r>
    <r>
      <rPr>
        <b/>
        <sz val="14"/>
        <color theme="1"/>
        <rFont val="宋体"/>
        <charset val="134"/>
      </rPr>
      <t>节</t>
    </r>
    <r>
      <rPr>
        <b/>
        <sz val="14"/>
        <color theme="1"/>
        <rFont val="Times New Roman"/>
        <family val="1"/>
      </rPr>
      <t xml:space="preserve"> 15:05-15:50 </t>
    </r>
    <r>
      <rPr>
        <b/>
        <sz val="14"/>
        <color theme="1"/>
        <rFont val="宋体"/>
        <charset val="134"/>
      </rPr>
      <t>晚自习</t>
    </r>
    <r>
      <rPr>
        <b/>
        <sz val="14"/>
        <color theme="1"/>
        <rFont val="Times New Roman"/>
        <family val="1"/>
      </rPr>
      <t xml:space="preserve"> 19:00-20:30</t>
    </r>
    <r>
      <rPr>
        <b/>
        <sz val="14"/>
        <color theme="1"/>
        <rFont val="宋体"/>
        <charset val="134"/>
      </rPr>
      <t>）</t>
    </r>
  </si>
  <si>
    <t>班级
节次及时间</t>
  </si>
  <si>
    <t>一1∽2</t>
  </si>
  <si>
    <t>一3∽4</t>
  </si>
  <si>
    <t>一5∽6</t>
  </si>
  <si>
    <t>一晚自习</t>
  </si>
  <si>
    <t>二1∽2</t>
  </si>
  <si>
    <t>二3∽4</t>
  </si>
  <si>
    <t>二5∽6</t>
  </si>
  <si>
    <t>二晚自习</t>
  </si>
  <si>
    <t>三1∽2</t>
  </si>
  <si>
    <t>三3∽4</t>
  </si>
  <si>
    <t>三5∽6</t>
  </si>
  <si>
    <t>三晚自习</t>
  </si>
  <si>
    <t>四1∽2</t>
  </si>
  <si>
    <t>四3∽4</t>
  </si>
  <si>
    <t>四5∽6</t>
  </si>
  <si>
    <t>四晚自习</t>
  </si>
  <si>
    <t>五1∽2</t>
  </si>
  <si>
    <t>五3∽4</t>
  </si>
  <si>
    <t>五5∽6</t>
  </si>
  <si>
    <t>五晚自习</t>
  </si>
  <si>
    <t>班会教室</t>
  </si>
  <si>
    <r>
      <rPr>
        <b/>
        <sz val="9"/>
        <rFont val="宋体"/>
        <charset val="134"/>
        <scheme val="minor"/>
      </rPr>
      <t>1</t>
    </r>
    <r>
      <rPr>
        <b/>
        <sz val="9"/>
        <rFont val="宋体"/>
        <charset val="134"/>
      </rPr>
      <t>8</t>
    </r>
    <r>
      <rPr>
        <b/>
        <sz val="9"/>
        <rFont val="宋体"/>
        <charset val="134"/>
        <scheme val="minor"/>
      </rPr>
      <t>计应</t>
    </r>
    <r>
      <rPr>
        <b/>
        <sz val="9"/>
        <rFont val="宋体"/>
        <charset val="134"/>
      </rPr>
      <t>1</t>
    </r>
  </si>
  <si>
    <t>软件工程
李星
践行楼401</t>
  </si>
  <si>
    <t>Java项目综合案例开发
王昌原
践行楼401</t>
  </si>
  <si>
    <t>耿锐
报告厅</t>
  </si>
  <si>
    <t>毕业设计
践行楼203</t>
  </si>
  <si>
    <t>Java项目综合案例开发
王昌原
践行楼403</t>
  </si>
  <si>
    <t>Web项目综合案例开发
耿锐
践行楼401</t>
  </si>
  <si>
    <t>毕业设计
践行楼101</t>
  </si>
  <si>
    <t>就业指导
赵艳云
践行楼401</t>
  </si>
  <si>
    <t>毕业设计
践行楼401</t>
  </si>
  <si>
    <t>赵艳云
报告厅</t>
  </si>
  <si>
    <t>Web项目综合案例开发
耿锐
践行楼101</t>
  </si>
  <si>
    <t>践行楼401</t>
  </si>
  <si>
    <r>
      <rPr>
        <b/>
        <sz val="9"/>
        <rFont val="宋体"/>
        <charset val="134"/>
        <scheme val="minor"/>
      </rPr>
      <t>1</t>
    </r>
    <r>
      <rPr>
        <b/>
        <sz val="9"/>
        <rFont val="宋体"/>
        <charset val="134"/>
      </rPr>
      <t>8</t>
    </r>
    <r>
      <rPr>
        <b/>
        <sz val="9"/>
        <rFont val="宋体"/>
        <charset val="134"/>
        <scheme val="minor"/>
      </rPr>
      <t>计应</t>
    </r>
    <r>
      <rPr>
        <b/>
        <sz val="9"/>
        <rFont val="宋体"/>
        <charset val="134"/>
      </rPr>
      <t>2</t>
    </r>
  </si>
  <si>
    <t>Web项目综合案例开发
耿锐
践行楼403</t>
  </si>
  <si>
    <t>Web项目综合案例开发
耿锐
践行楼204</t>
  </si>
  <si>
    <t>Java项目综合案例开发
王昌原
践行楼201</t>
  </si>
  <si>
    <r>
      <rPr>
        <b/>
        <sz val="9"/>
        <rFont val="宋体"/>
        <charset val="134"/>
        <scheme val="minor"/>
      </rPr>
      <t>1</t>
    </r>
    <r>
      <rPr>
        <b/>
        <sz val="9"/>
        <rFont val="宋体"/>
        <charset val="134"/>
      </rPr>
      <t>8</t>
    </r>
    <r>
      <rPr>
        <b/>
        <sz val="9"/>
        <rFont val="宋体"/>
        <charset val="134"/>
        <scheme val="minor"/>
      </rPr>
      <t>计应</t>
    </r>
    <r>
      <rPr>
        <b/>
        <sz val="9"/>
        <rFont val="宋体"/>
        <charset val="134"/>
      </rPr>
      <t>3</t>
    </r>
  </si>
  <si>
    <t>毕业设计
践行楼102</t>
  </si>
  <si>
    <t>就业指导
赵艳云
践行楼403</t>
  </si>
  <si>
    <t>毕业设计
映荷楼201</t>
  </si>
  <si>
    <t>Web项目综合案例开发
耿锐
映荷楼201</t>
  </si>
  <si>
    <t>践行楼403</t>
  </si>
  <si>
    <r>
      <rPr>
        <b/>
        <sz val="9"/>
        <rFont val="宋体"/>
        <charset val="134"/>
        <scheme val="minor"/>
      </rPr>
      <t>1</t>
    </r>
    <r>
      <rPr>
        <b/>
        <sz val="9"/>
        <rFont val="宋体"/>
        <charset val="134"/>
      </rPr>
      <t>8</t>
    </r>
    <r>
      <rPr>
        <b/>
        <sz val="9"/>
        <rFont val="宋体"/>
        <charset val="134"/>
        <scheme val="minor"/>
      </rPr>
      <t>计应</t>
    </r>
    <r>
      <rPr>
        <b/>
        <sz val="9"/>
        <rFont val="宋体"/>
        <charset val="134"/>
      </rPr>
      <t>4</t>
    </r>
  </si>
  <si>
    <t>Java项目综合案例开发
王昌原
践行楼202</t>
  </si>
  <si>
    <t>毕业设计
践行楼104</t>
  </si>
  <si>
    <t>18市销1</t>
  </si>
  <si>
    <t>新媒体营销
袁超
映荷楼103</t>
  </si>
  <si>
    <t>办公软件高级应用
唐晗
映荷楼302</t>
  </si>
  <si>
    <t>袁军萍
践行楼401</t>
  </si>
  <si>
    <t>就业指导
赵艳云
映荷楼201</t>
  </si>
  <si>
    <t>零售业营销
徐艳
映荷楼201</t>
  </si>
  <si>
    <t>交际与口才
钟丽娜
践行楼201</t>
  </si>
  <si>
    <t>办公软件高级应用
唐晗
★机房301</t>
  </si>
  <si>
    <t>赵艳云
践行楼401</t>
  </si>
  <si>
    <t>交际与口才
钟丽娜
践行楼103</t>
  </si>
  <si>
    <t>袁超
践行楼401</t>
  </si>
  <si>
    <t>报告厅</t>
  </si>
  <si>
    <t>18市销2</t>
  </si>
  <si>
    <t>办公软件高级应用
袁军萍
映荷楼201</t>
  </si>
  <si>
    <t>零售业营销
徐艳
映荷楼204</t>
  </si>
  <si>
    <t>新媒体营销
袁超
映荷楼104</t>
  </si>
  <si>
    <t>办公软件高级应用
袁军萍
★机房301</t>
  </si>
  <si>
    <t>零售业营销
徐艳
映荷楼203</t>
  </si>
  <si>
    <t>就业指导
赵艳云
映荷楼403</t>
  </si>
  <si>
    <t>零售业营销
徐艳
映荷楼103</t>
  </si>
  <si>
    <t>新媒体营销
袁超
映荷楼101</t>
  </si>
  <si>
    <t>办公软件高级应用
袁军萍
映荷楼202</t>
  </si>
  <si>
    <t>新媒体营销
袁超
映荷楼202</t>
  </si>
  <si>
    <t>19物网1</t>
  </si>
  <si>
    <t>QT界面编程
王建立
践行楼101</t>
  </si>
  <si>
    <t>无线传感技术
李俊杰
践行楼101</t>
  </si>
  <si>
    <t>数据库技术基础
李星
映荷楼403</t>
  </si>
  <si>
    <t>李星
践行楼101</t>
  </si>
  <si>
    <t>QT界面编程
王建立
★机房402</t>
  </si>
  <si>
    <t>ARM体系结构与驱动开发
邹浩桢
践行楼101</t>
  </si>
  <si>
    <t>创新与创业
刘明良
报告厅</t>
  </si>
  <si>
    <t>钟丽娜
践行楼204</t>
  </si>
  <si>
    <t>数据库技术基础
李星
★机房301</t>
  </si>
  <si>
    <t>ARM体系结构与驱动开发
邹浩桢
★机房302</t>
  </si>
  <si>
    <t>无线传感技术
李俊杰
★机房302</t>
  </si>
  <si>
    <t>徐行
践行楼204</t>
  </si>
  <si>
    <t>数据库技术基础
李星
践行楼101</t>
  </si>
  <si>
    <t>Java程序设计 
徐行
践行楼102</t>
  </si>
  <si>
    <t>徐行
践行楼101</t>
  </si>
  <si>
    <t>Java程序设计 
徐行
★机房404</t>
  </si>
  <si>
    <t>践行楼101</t>
  </si>
  <si>
    <t>19物网2</t>
  </si>
  <si>
    <t>数据库技术基础
张磊
★机房302</t>
  </si>
  <si>
    <t>QT界面编程
王建立
践行楼102</t>
  </si>
  <si>
    <t>无线传感技术
李俊杰
践行楼102</t>
  </si>
  <si>
    <t>张磊
践行楼102</t>
  </si>
  <si>
    <t>数据库技术基础
张磊
践行楼102</t>
  </si>
  <si>
    <t>数据库技术基础
张磊
映荷楼202</t>
  </si>
  <si>
    <t>Java程序设计 
徐行
★机房303</t>
  </si>
  <si>
    <t>ARM体系结构与驱动开发
邹浩桢
践行楼102</t>
  </si>
  <si>
    <t>无线传感技术
李俊杰
★机房303</t>
  </si>
  <si>
    <t>ARM体系结构与驱动开发
邹浩桢
★机房303</t>
  </si>
  <si>
    <t>钟丽娜
践行楼102</t>
  </si>
  <si>
    <t>践行楼102</t>
  </si>
  <si>
    <t>19物网3</t>
  </si>
  <si>
    <t>ARM体系结构与驱动开发
邹浩桢
践行楼103</t>
  </si>
  <si>
    <t>QT界面编程
王建立
践行楼103</t>
  </si>
  <si>
    <t>QT界面编程
王建立
★机房302</t>
  </si>
  <si>
    <t>ARM体系结构与驱动开发
邹浩桢
★机房404</t>
  </si>
  <si>
    <t>数据库技术基础
张磊
践行楼103</t>
  </si>
  <si>
    <t>无线传感技术
邹浩桢
践行楼103</t>
  </si>
  <si>
    <t>Java程序设计
徐春华
践行楼103</t>
  </si>
  <si>
    <t>张磊
践行楼103</t>
  </si>
  <si>
    <t>无线传感技术
邹浩桢
★机房301</t>
  </si>
  <si>
    <t>Java程序设计
徐春华
★机房303</t>
  </si>
  <si>
    <t>践行楼103</t>
  </si>
  <si>
    <t>19物网4</t>
  </si>
  <si>
    <t>数据库技术基础
徐行
践行楼104</t>
  </si>
  <si>
    <t>无线传感技术
邹浩桢
践行楼104</t>
  </si>
  <si>
    <t>ARM体系结构与驱动开发
邹浩桢
践行楼104</t>
  </si>
  <si>
    <t>徐春华
践行楼104</t>
  </si>
  <si>
    <t>Java程序设计
徐春华
践行楼104</t>
  </si>
  <si>
    <t>数据库技术基础
徐行
★机房302</t>
  </si>
  <si>
    <t>何丹
践行楼104</t>
  </si>
  <si>
    <t>Java程序设计
徐春华
★机房402</t>
  </si>
  <si>
    <t>何丹
践行楼204</t>
  </si>
  <si>
    <t>QT界面编程
王建立
践行楼104</t>
  </si>
  <si>
    <t>践行楼104</t>
  </si>
  <si>
    <t>19计网1</t>
  </si>
  <si>
    <t>Shell脚本编程
李俊杰
映荷楼202</t>
  </si>
  <si>
    <t>云计算应用管理
陈良
践行楼201</t>
  </si>
  <si>
    <t>Java程序设计
徐春华
践行楼201</t>
  </si>
  <si>
    <t>Shell脚本编程
李俊杰
★机房301</t>
  </si>
  <si>
    <t>云计算高级运维
陈良
践行楼201</t>
  </si>
  <si>
    <t>黎海春
映荷楼302</t>
  </si>
  <si>
    <t>WEB前端开发
李星
践行楼201</t>
  </si>
  <si>
    <t>云计算应用管理
陈良
★机房303</t>
  </si>
  <si>
    <t>徐春华
践行楼201</t>
  </si>
  <si>
    <t>Shell脚本编程
李俊杰
践行楼201</t>
  </si>
  <si>
    <t>云计算高级运维
陈良
★机房402</t>
  </si>
  <si>
    <t>WEB前端开发
李星
★机房301</t>
  </si>
  <si>
    <t>李星
践行楼201</t>
  </si>
  <si>
    <t>Shell脚本编程
李俊杰
★机房402</t>
  </si>
  <si>
    <t>践行楼201</t>
  </si>
  <si>
    <t>19计网2</t>
  </si>
  <si>
    <t>云计算应用管理
陈良
映荷楼203</t>
  </si>
  <si>
    <t>云计算高级运维
陈良
践行楼202</t>
  </si>
  <si>
    <t>黎海春
践行楼202</t>
  </si>
  <si>
    <t>Shell脚本编程
李俊杰
践行楼202</t>
  </si>
  <si>
    <t>徐春华
践行楼202</t>
  </si>
  <si>
    <t>云计算应用管理
陈良
★机房404</t>
  </si>
  <si>
    <t>WEB前端开发
李星
践行楼202</t>
  </si>
  <si>
    <t>李星
践行楼202</t>
  </si>
  <si>
    <t>Java程序设计
徐春华
映荷楼202</t>
  </si>
  <si>
    <t>Shell脚本编程
李俊杰
★机房302</t>
  </si>
  <si>
    <t>云计算高级运维
陈良
★机房302</t>
  </si>
  <si>
    <t>践行楼202</t>
  </si>
  <si>
    <t>19计网3</t>
  </si>
  <si>
    <t>Java程序设计 
徐行
践行楼203</t>
  </si>
  <si>
    <t>Java程序设计 
徐行
★机房301</t>
  </si>
  <si>
    <t>徐行
践行楼203</t>
  </si>
  <si>
    <t>云计算应用管理
陈良
践行楼203</t>
  </si>
  <si>
    <t>云计算高级运维
陈良
践行楼203</t>
  </si>
  <si>
    <t>Shell脚本编程
李俊杰
践行楼203</t>
  </si>
  <si>
    <t>WEB前端开发
李星
践行楼102</t>
  </si>
  <si>
    <t>云计算高级运维
陈良
★机房303</t>
  </si>
  <si>
    <t>Shell脚本编程
李俊杰
★机房404</t>
  </si>
  <si>
    <t>践行楼203</t>
  </si>
  <si>
    <t>19市销</t>
  </si>
  <si>
    <t>推销技巧
袁超
践行楼204</t>
  </si>
  <si>
    <t>广告策划与创意
徐艳
践行楼204</t>
  </si>
  <si>
    <t>袁超
践行楼204</t>
  </si>
  <si>
    <t>营销型网站建设
王昌原
践行楼204</t>
  </si>
  <si>
    <t>袁超
践行楼101</t>
  </si>
  <si>
    <t>搜索引擎优化
陈良
★机房303</t>
  </si>
  <si>
    <t>经济法
陈冉
践行楼204</t>
  </si>
  <si>
    <t>营销型网站建设
王昌原
★机房402</t>
  </si>
  <si>
    <t>搜索引擎优化
陈良
践行楼204</t>
  </si>
  <si>
    <t>践行楼204</t>
  </si>
  <si>
    <t>20幼教1</t>
  </si>
  <si>
    <t>语文2
贺春
践行楼201</t>
  </si>
  <si>
    <t>政治2
胡玲
映荷楼103</t>
  </si>
  <si>
    <t>英语2
彭润华
映荷楼103</t>
  </si>
  <si>
    <t>彭润华
映荷楼103</t>
  </si>
  <si>
    <t>语文2
贺春
践行楼202</t>
  </si>
  <si>
    <t>计算机应用基础2
唐晗
映荷楼103</t>
  </si>
  <si>
    <t>唐晗
映荷楼103</t>
  </si>
  <si>
    <t>幼儿绘画训练2
吴俊杰
映荷楼103</t>
  </si>
  <si>
    <t>形体训练2
曾婧玉
映荷楼405</t>
  </si>
  <si>
    <t>钢琴基础与视唱练耳2
朱朋
映荷楼102</t>
  </si>
  <si>
    <t>王丽
映荷楼103</t>
  </si>
  <si>
    <t>体育2
柳金堤</t>
  </si>
  <si>
    <t>数学2
王丽
践行楼201</t>
  </si>
  <si>
    <t>贺春
践行楼202</t>
  </si>
  <si>
    <t>计算机应用基础2
唐晗
★机房303</t>
  </si>
  <si>
    <t>数学2
王丽
践行楼202</t>
  </si>
  <si>
    <t>映荷楼103</t>
  </si>
  <si>
    <t>20幼教2</t>
  </si>
  <si>
    <t>计算机应用基础2
唐晗
映荷楼202</t>
  </si>
  <si>
    <t>政治2
胡玲
映荷楼202</t>
  </si>
  <si>
    <t>彭润华
映荷楼202</t>
  </si>
  <si>
    <t>英语2
刘敏
映荷楼202</t>
  </si>
  <si>
    <t>贺春
映荷楼202</t>
  </si>
  <si>
    <t>幼儿绘画训练2
吴俊杰
映荷楼202</t>
  </si>
  <si>
    <t>胡玲
映荷楼202</t>
  </si>
  <si>
    <t>体育2
宋剑文</t>
  </si>
  <si>
    <t>计算机应用基础2
唐晗
★机房404</t>
  </si>
  <si>
    <t>映荷楼202</t>
  </si>
  <si>
    <t>20幼教3</t>
  </si>
  <si>
    <t>数学2
游思明
践行楼202</t>
  </si>
  <si>
    <t>英语2
陈娟
映荷楼201</t>
  </si>
  <si>
    <t>计算机应用基础2
黄仕尘
映荷楼201</t>
  </si>
  <si>
    <t>陈娟
映荷楼201</t>
  </si>
  <si>
    <t>数学2
游思明
践行楼101</t>
  </si>
  <si>
    <t>政治2
胡玲
映荷楼201</t>
  </si>
  <si>
    <t>体育2
彭明</t>
  </si>
  <si>
    <t>胡玲
映荷楼201</t>
  </si>
  <si>
    <t>幼儿绘画训练2
吴俊杰
映荷楼201</t>
  </si>
  <si>
    <t>唐晗
映荷楼201</t>
  </si>
  <si>
    <t>语文2
贺春
践行楼203</t>
  </si>
  <si>
    <t>计算机应用基础2
黄仕尘
★机房304</t>
  </si>
  <si>
    <t>映荷楼201</t>
  </si>
  <si>
    <t>20计应1</t>
  </si>
  <si>
    <t>语文2
周香萍
践行楼203</t>
  </si>
  <si>
    <t>政治2
吴友才
映荷楼203</t>
  </si>
  <si>
    <t>吴友才
映荷楼203</t>
  </si>
  <si>
    <t>语文2
周香萍
践行楼103</t>
  </si>
  <si>
    <t>数学2
游思明
践行楼201</t>
  </si>
  <si>
    <t>周香萍
践行楼201</t>
  </si>
  <si>
    <t>VB程序设计基础
袁军萍
映荷楼203</t>
  </si>
  <si>
    <t>计算机应用基础2
李含笑
映荷楼203</t>
  </si>
  <si>
    <t>袁军萍
映荷楼203</t>
  </si>
  <si>
    <t>VB程序设计基础
袁军萍
★机房301</t>
  </si>
  <si>
    <t>英语2
谢鹏
映荷楼203</t>
  </si>
  <si>
    <t>计算机应用基础2
李含笑
★机房302</t>
  </si>
  <si>
    <t>李含笑
映荷楼203</t>
  </si>
  <si>
    <t>映荷楼203</t>
  </si>
  <si>
    <t>20计应2</t>
  </si>
  <si>
    <t>英语2
谢鹏
映荷楼404</t>
  </si>
  <si>
    <t>周香萍
映荷楼403</t>
  </si>
  <si>
    <t>计算机应用基础2
李含笑
映荷楼403</t>
  </si>
  <si>
    <t>政治2
吴友才
映荷楼302</t>
  </si>
  <si>
    <t>VB程序设计基础
袁军萍
映荷楼403</t>
  </si>
  <si>
    <t>李含笑
映荷楼403</t>
  </si>
  <si>
    <t>计算机应用基础2
李含笑
★机房303</t>
  </si>
  <si>
    <t>政治2
吴友才
映荷楼202</t>
  </si>
  <si>
    <t>英语2
谢鹏
映荷楼302</t>
  </si>
  <si>
    <t>谢鹏
映荷楼302</t>
  </si>
  <si>
    <t>VB程序设计基础
袁军萍
★机房302</t>
  </si>
  <si>
    <t>映荷楼404</t>
  </si>
  <si>
    <t>20电商1</t>
  </si>
  <si>
    <t>英语2
刘敏
映荷楼403</t>
  </si>
  <si>
    <t>应用文写作
柳航
映荷楼403</t>
  </si>
  <si>
    <t>语文2
贺春
践行楼101</t>
  </si>
  <si>
    <t>柳航
映荷楼304</t>
  </si>
  <si>
    <t>FFICE办公自动化之Word
唐晗
映荷楼403</t>
  </si>
  <si>
    <t>政治2
谢嘉祺
映荷楼104</t>
  </si>
  <si>
    <t>柳航
践行楼403</t>
  </si>
  <si>
    <t>数学2
王丽
践行楼101</t>
  </si>
  <si>
    <t>FFICE办公自动化之Word
唐晗
★机房301</t>
  </si>
  <si>
    <t>贺春
映荷楼304</t>
  </si>
  <si>
    <t>政治2
谢嘉祺
映荷楼103</t>
  </si>
  <si>
    <t>谢嘉祺
映荷楼304</t>
  </si>
  <si>
    <t>应用文写作
柳航
映荷楼103</t>
  </si>
  <si>
    <t>映荷楼304</t>
  </si>
  <si>
    <t>20电商2</t>
  </si>
  <si>
    <t>FFICE办公自动化之Word
唐晗
映荷楼302</t>
  </si>
  <si>
    <t>政治2
谢嘉祺
映荷楼302</t>
  </si>
  <si>
    <t>唐晗
映荷楼303</t>
  </si>
  <si>
    <t>应用文写作
柳航
映荷楼302</t>
  </si>
  <si>
    <t>英语2
刘敏
映荷楼103</t>
  </si>
  <si>
    <t>谢嘉祺
映荷楼303</t>
  </si>
  <si>
    <t>FFICE办公自动化之Word
唐晗
★机房304</t>
  </si>
  <si>
    <t>肖继林
映荷楼303</t>
  </si>
  <si>
    <t>映荷楼303</t>
  </si>
  <si>
    <t>20计网</t>
  </si>
  <si>
    <t>计算机应用基础2
李含笑
映荷楼101</t>
  </si>
  <si>
    <t>数学2
游思明
践行楼203</t>
  </si>
  <si>
    <t>英语2
谢鹏
映荷楼402</t>
  </si>
  <si>
    <t>李含笑
映荷楼301</t>
  </si>
  <si>
    <t>C程序设计
张磊
映荷楼104</t>
  </si>
  <si>
    <t>吴友才
映荷楼302</t>
  </si>
  <si>
    <t>C程序设计
张磊
★机房302</t>
  </si>
  <si>
    <t>张磊
映荷楼201</t>
  </si>
  <si>
    <t>政治2
吴友才
映荷楼104</t>
  </si>
  <si>
    <t>映荷楼301</t>
  </si>
  <si>
    <t>20会计</t>
  </si>
  <si>
    <t>语文2
周香萍
映荷楼101</t>
  </si>
  <si>
    <t>演讲与口才
钟丽娜
映荷楼101</t>
  </si>
  <si>
    <t>文林一村
映荷楼101</t>
  </si>
  <si>
    <t>英语2
陈娟
映荷楼101</t>
  </si>
  <si>
    <t>陈娟
映荷楼101</t>
  </si>
  <si>
    <t>Office办公自动化
袁军萍
映荷楼101</t>
  </si>
  <si>
    <t>彭明
映荷楼101</t>
  </si>
  <si>
    <t>政治2
谢嘉祺
映荷楼101</t>
  </si>
  <si>
    <t>Office办公自动化
袁军萍
★机房301</t>
  </si>
  <si>
    <t>映荷楼101</t>
  </si>
  <si>
    <t>20建工</t>
  </si>
  <si>
    <t>英语2
彭润华
映荷楼204</t>
  </si>
  <si>
    <t>计算机应用基础2
袁军萍
映荷楼204</t>
  </si>
  <si>
    <t>彭明
映荷楼204</t>
  </si>
  <si>
    <t>计算机应用基础2
袁军萍
★机房301</t>
  </si>
  <si>
    <t>黄仕尘
映荷楼204</t>
  </si>
  <si>
    <t>工程制图基础
黄仕尘
映荷楼204</t>
  </si>
  <si>
    <t>工程制图基础
黄仕尘
映荷楼101</t>
  </si>
  <si>
    <t>彭润华
映荷楼204</t>
  </si>
  <si>
    <t>政治2
罗夏芸
映荷楼204</t>
  </si>
  <si>
    <t>罗夏芸
映荷楼204</t>
  </si>
  <si>
    <t>政治2
罗夏芸
映荷楼104</t>
  </si>
  <si>
    <t>映荷楼204</t>
  </si>
  <si>
    <t>20工造</t>
  </si>
  <si>
    <t>计算机应用基础2
黄仕尘
映荷楼104</t>
  </si>
  <si>
    <t>AutoCAD
黄仕尘
映荷楼104</t>
  </si>
  <si>
    <t>黄仕尘
映荷楼104</t>
  </si>
  <si>
    <t>计算机应用基础2
黄仕尘
★机房302</t>
  </si>
  <si>
    <t>英语2
彭润华
映荷楼104</t>
  </si>
  <si>
    <t>彭润华
映荷楼104</t>
  </si>
  <si>
    <t>周香萍
映荷楼104</t>
  </si>
  <si>
    <t>王丽
映荷楼104</t>
  </si>
  <si>
    <t>AutoCAD
黄仕尘
★机房304</t>
  </si>
  <si>
    <t>映荷楼104</t>
  </si>
  <si>
    <t>20机电</t>
  </si>
  <si>
    <t>政治2
罗夏芸
映荷楼402</t>
  </si>
  <si>
    <t>英语2
刘敏
映荷楼402</t>
  </si>
  <si>
    <t>钟子良
践行楼201</t>
  </si>
  <si>
    <t>罗夏芸
映荷楼402</t>
  </si>
  <si>
    <t>机械制图2
钟子良
映荷楼402</t>
  </si>
  <si>
    <t>电工基础
钟子良
映荷楼402</t>
  </si>
  <si>
    <t>罗夏芸
践行楼203</t>
  </si>
  <si>
    <t>数学2
游思明
映荷楼402</t>
  </si>
  <si>
    <t>周香萍
映荷楼402</t>
  </si>
  <si>
    <t>映荷楼402</t>
  </si>
  <si>
    <t>20机器人</t>
  </si>
  <si>
    <t>计算机应用基础2
钟子良
映荷楼404</t>
  </si>
  <si>
    <t>机械制图2
钟子良
映荷楼404</t>
  </si>
  <si>
    <t>计算机应用基础2
钟子良
★机房304</t>
  </si>
  <si>
    <t>罗夏芸
映荷楼403</t>
  </si>
  <si>
    <t>政治2
罗夏芸
映荷楼404</t>
  </si>
  <si>
    <t>英语2
彭润华
映荷楼404</t>
  </si>
  <si>
    <t>钟子良
映荷楼403</t>
  </si>
  <si>
    <t>映荷楼403</t>
  </si>
  <si>
    <t xml:space="preserve">空余
教室
机房
</t>
  </si>
  <si>
    <t>报告厅
践行楼 102
机房：301 303 304 402 404</t>
  </si>
  <si>
    <t>报告厅
践行楼 103
机房：301 303 304 402 404</t>
  </si>
  <si>
    <t>映荷楼 报告厅
机房302 303 304 402 404</t>
  </si>
  <si>
    <t>映荷楼 301 103 402 404
践行楼：103 403
机房303 304 402 404</t>
  </si>
  <si>
    <t>映荷楼101 104 203 404 报告厅
践行楼：</t>
  </si>
  <si>
    <t>映荷楼202 204 404
践行楼：102 104
机房303 304 404</t>
  </si>
  <si>
    <t>映荷楼101 203 204 302 402 403 404
践行楼：101 102 103 104 201 202 401 403
机房302 303 304 402 404</t>
  </si>
  <si>
    <t>映荷楼 203 303 304
践行楼：102
机房301 302 303 304 402 404</t>
  </si>
  <si>
    <t>映荷楼 201 302 404 报告厅
践行楼：101 103 104
机房304 302</t>
  </si>
  <si>
    <t>映荷楼 204 报告厅
践行楼：103 203 204
机房304 404</t>
  </si>
  <si>
    <t>映荷楼 202 204 报告厅
践行楼：203 204
机房304 404</t>
  </si>
  <si>
    <t>映荷楼 301 402 404
践行楼：101 102 104 203 204 404
机房304 402 404</t>
  </si>
  <si>
    <t>映荷楼 104 203 204 204 302 403 报告厅
践行楼：202</t>
  </si>
  <si>
    <t>映荷楼 103 204 402 403 报告厅
践行楼：
机房304 302</t>
  </si>
  <si>
    <t>映荷楼 203 403 404 报告厅
践行楼：101 103 104 203 403
机房404 304</t>
  </si>
  <si>
    <t>映荷楼 103 301 103 404
践行楼：104 103 203 404 204
机房304 404</t>
  </si>
  <si>
    <t>映荷楼 203 204 302 402 403 404 报告厅
践行楼：104</t>
  </si>
  <si>
    <t>映荷楼 204 报告厅
践行楼：101 103 201</t>
  </si>
  <si>
    <t>映荷楼301、303、304白天做为18级创业实践使用，不能占用。</t>
  </si>
  <si>
    <t>2020-2021第二学期单班课表</t>
  </si>
  <si>
    <t>班级</t>
  </si>
  <si>
    <t>班会教室：</t>
  </si>
  <si>
    <t>节次</t>
  </si>
  <si>
    <t>1--2</t>
  </si>
  <si>
    <t>3--4</t>
  </si>
  <si>
    <t>5--6</t>
  </si>
  <si>
    <t>晚自习</t>
  </si>
  <si>
    <t>周一</t>
  </si>
  <si>
    <t>周二</t>
  </si>
  <si>
    <t>周三</t>
  </si>
  <si>
    <t>周四</t>
  </si>
  <si>
    <t>周五</t>
  </si>
  <si>
    <t>每节课起止时间（课间休息10分钟）：
                            第1节  08:10-08:55    
                            第2节  09:05-09:50   
                            第3节  映荷楼（10:05-10:50） 践行楼（10:20-11:05）   
                            第4节  映荷楼（11:00-11:45） 践行楼（11:15-12:00 ） 
                            第5节  14:10-14:55    
                            第6节  15:05-15:50  
                            晚自习 19:00-20:30</t>
  </si>
  <si>
    <t>教师选择：</t>
  </si>
  <si>
    <t>陈良</t>
  </si>
  <si>
    <t>18计应1</t>
  </si>
  <si>
    <t>18计应2</t>
  </si>
  <si>
    <t>18计应3</t>
  </si>
  <si>
    <t>18计应4</t>
  </si>
  <si>
    <t>张磊</t>
  </si>
  <si>
    <t>柳金堤</t>
  </si>
  <si>
    <t>宋剑文</t>
  </si>
  <si>
    <t>吴俊杰</t>
  </si>
  <si>
    <t>曾婧玉</t>
  </si>
  <si>
    <t>朱朋</t>
  </si>
  <si>
    <t>刘明良</t>
  </si>
  <si>
    <t>王丽</t>
  </si>
  <si>
    <t>游思明</t>
  </si>
  <si>
    <t>周香萍</t>
  </si>
  <si>
    <t>徐艳</t>
  </si>
  <si>
    <t>刘敏</t>
  </si>
  <si>
    <t>李星</t>
  </si>
  <si>
    <t>贺春</t>
  </si>
  <si>
    <t>胡玲</t>
  </si>
  <si>
    <t>彭润华</t>
  </si>
  <si>
    <t>陈娟</t>
  </si>
  <si>
    <t>袁军萍</t>
  </si>
  <si>
    <t>唐晗</t>
  </si>
  <si>
    <t>黄仕尘</t>
  </si>
  <si>
    <t>李含笑</t>
  </si>
  <si>
    <t>钟子良</t>
  </si>
  <si>
    <t>吴友才</t>
  </si>
  <si>
    <t>谢嘉祺</t>
  </si>
  <si>
    <t>谢鹏</t>
  </si>
  <si>
    <t>罗夏芸</t>
  </si>
  <si>
    <t>陈冉</t>
  </si>
  <si>
    <t>柳航</t>
  </si>
  <si>
    <t>钟丽娜</t>
  </si>
  <si>
    <t>彭明</t>
  </si>
  <si>
    <t>王建立</t>
  </si>
  <si>
    <t>邹浩桢</t>
  </si>
  <si>
    <t>徐博程</t>
  </si>
  <si>
    <t>李俊杰</t>
  </si>
  <si>
    <t>屈美玲</t>
  </si>
  <si>
    <t>胡晨雨</t>
  </si>
  <si>
    <t>王昌原</t>
  </si>
  <si>
    <t>耿锐</t>
  </si>
  <si>
    <t>赵艳云</t>
  </si>
  <si>
    <t>袁超</t>
  </si>
  <si>
    <t>徐春华</t>
  </si>
  <si>
    <t>徐行</t>
  </si>
  <si>
    <t>肖继林</t>
  </si>
  <si>
    <t>何丹</t>
  </si>
  <si>
    <t>黎海春</t>
  </si>
  <si>
    <t>文林一村</t>
  </si>
  <si>
    <t>机房</t>
  </si>
  <si>
    <t>2020-2021学年第二学期周历（下埠教学点）</t>
  </si>
  <si>
    <t>班级名称</t>
  </si>
  <si>
    <t>课程名称</t>
  </si>
  <si>
    <t>类别</t>
  </si>
  <si>
    <t>周学时/周次</t>
  </si>
  <si>
    <t>考核方式</t>
  </si>
  <si>
    <t>教师</t>
  </si>
  <si>
    <t>18计算机应用技术1班</t>
  </si>
  <si>
    <t>Java项目综合案例开发</t>
  </si>
  <si>
    <t>课程</t>
  </si>
  <si>
    <t>创业培训周</t>
  </si>
  <si>
    <t>毕业设计及答辨</t>
  </si>
  <si>
    <t>考查</t>
  </si>
  <si>
    <t>Web项目综合案例开发</t>
  </si>
  <si>
    <t>考试</t>
  </si>
  <si>
    <t>就业指导</t>
  </si>
  <si>
    <t>软件工程</t>
  </si>
  <si>
    <t>形势与政策5</t>
  </si>
  <si>
    <t>环节</t>
  </si>
  <si>
    <t>18计算机应用技术2班</t>
  </si>
  <si>
    <t>18计算机应用技术3班</t>
  </si>
  <si>
    <t>18计算机应用技术4班</t>
  </si>
  <si>
    <t>18市场营销1班</t>
  </si>
  <si>
    <t>零售业营销</t>
  </si>
  <si>
    <t>毕业设计及答辩</t>
  </si>
  <si>
    <t>新媒体营销</t>
  </si>
  <si>
    <t>交际与口才</t>
  </si>
  <si>
    <t>办公软件高级应用</t>
  </si>
  <si>
    <t>18市场营销2班</t>
  </si>
  <si>
    <t>19物联网应用技术1班</t>
  </si>
  <si>
    <t>数据库技术基础</t>
  </si>
  <si>
    <t>linux驱动开发实训</t>
  </si>
  <si>
    <t>Linux系统软件开发实训：智能家居主控</t>
  </si>
  <si>
    <t>数据库技术基础实训</t>
  </si>
  <si>
    <t>ARM体系结构与驱动开发</t>
  </si>
  <si>
    <t>QT界面编程</t>
  </si>
  <si>
    <t>无线传感技术</t>
  </si>
  <si>
    <t>JAVA程序设计</t>
  </si>
  <si>
    <t>形势与政策4</t>
  </si>
  <si>
    <t>创新与创业</t>
  </si>
  <si>
    <t>19物联网应用技术2班</t>
  </si>
  <si>
    <t>19物联网应用技术3班</t>
  </si>
  <si>
    <t>19物联网应用技术4班</t>
  </si>
  <si>
    <t>19计算机网络技术1班</t>
  </si>
  <si>
    <t>云计算应用管理</t>
  </si>
  <si>
    <t>Shell脚本编程实训</t>
  </si>
  <si>
    <t>云计算高级运维实训（Nginx+Tomcat集群）</t>
  </si>
  <si>
    <t>Java程序设计实训</t>
  </si>
  <si>
    <t xml:space="preserve">Java程序设计 </t>
  </si>
  <si>
    <t>云计算高级运维</t>
  </si>
  <si>
    <t>Shell脚本编程</t>
  </si>
  <si>
    <t>WEB前端开发</t>
  </si>
  <si>
    <t>19计算机网络技术2班</t>
  </si>
  <si>
    <r>
      <rPr>
        <sz val="9"/>
        <color rgb="FF000000"/>
        <rFont val="宋体"/>
        <charset val="134"/>
      </rPr>
      <t>云计算高级运维实训（</t>
    </r>
    <r>
      <rPr>
        <sz val="9"/>
        <color rgb="FF000000"/>
        <rFont val="Times New Roman"/>
      </rPr>
      <t>Nginx+Tomcat</t>
    </r>
    <r>
      <rPr>
        <sz val="9"/>
        <color rgb="FF000000"/>
        <rFont val="宋体"/>
        <charset val="134"/>
      </rPr>
      <t>集群）</t>
    </r>
  </si>
  <si>
    <t>19计算机网络技术3班</t>
  </si>
  <si>
    <t>19市场营销班</t>
  </si>
  <si>
    <t>经济法</t>
  </si>
  <si>
    <t>推销技巧实训</t>
  </si>
  <si>
    <t>营销型网站建设实训</t>
  </si>
  <si>
    <t>搜索引擎优化与营销实训</t>
  </si>
  <si>
    <t>网络营销综合实训</t>
  </si>
  <si>
    <t>营销型网站建设</t>
  </si>
  <si>
    <t>搜索引擎优化</t>
  </si>
  <si>
    <t>推销技巧</t>
  </si>
  <si>
    <t>广告策划与创意</t>
  </si>
  <si>
    <t>徐苹苹</t>
  </si>
  <si>
    <t>熊琳</t>
  </si>
  <si>
    <t>20幼儿发展与健康管理1班</t>
  </si>
  <si>
    <t>数学2</t>
  </si>
  <si>
    <t>计算机上机操作实习2</t>
  </si>
  <si>
    <t>劳动周</t>
  </si>
  <si>
    <t>语文2</t>
  </si>
  <si>
    <t>政治2</t>
  </si>
  <si>
    <t>英语2</t>
  </si>
  <si>
    <t>体育2</t>
  </si>
  <si>
    <t>计算机应用基础2</t>
  </si>
  <si>
    <t>幼儿绘画训练2</t>
  </si>
  <si>
    <t>钢琴基础与视唱练耳2</t>
  </si>
  <si>
    <t>形体训练2</t>
  </si>
  <si>
    <t>20幼儿发展与健康管理2班</t>
  </si>
  <si>
    <t>20幼儿发展与健康管理3班</t>
  </si>
  <si>
    <t>20电子商务1班</t>
  </si>
  <si>
    <t>OFFICE办公自动化实训</t>
  </si>
  <si>
    <t>应用文写作</t>
  </si>
  <si>
    <t>OFFICE办公自动化之Word</t>
  </si>
  <si>
    <t>20电子商务2班</t>
  </si>
  <si>
    <t>计算机文字录入实训</t>
  </si>
  <si>
    <t>OFFICE办公自动化之Word实训</t>
  </si>
  <si>
    <t>演讲与口才</t>
  </si>
  <si>
    <t>Office办公自动化</t>
  </si>
  <si>
    <t>20计算机应用技术1班</t>
  </si>
  <si>
    <t>计算机应用基础实训2</t>
  </si>
  <si>
    <t>visual Basic实训</t>
  </si>
  <si>
    <t>VB程序设计基础</t>
  </si>
  <si>
    <t>20计算机应用技术2班</t>
  </si>
  <si>
    <t>20计算机网络技术</t>
  </si>
  <si>
    <t>C程序设计实训</t>
  </si>
  <si>
    <t>C程序设计</t>
  </si>
  <si>
    <t>20机电一体化</t>
  </si>
  <si>
    <t>电工技术实习</t>
  </si>
  <si>
    <t>机械制图实习2</t>
  </si>
  <si>
    <t>电工基础</t>
  </si>
  <si>
    <t>机械制图2</t>
  </si>
  <si>
    <t>20工业机器人</t>
  </si>
  <si>
    <t>计算机应用基础实习2</t>
  </si>
  <si>
    <t>20工程造价</t>
  </si>
  <si>
    <t>计算机基础实习</t>
  </si>
  <si>
    <t>AutoCAD实习</t>
  </si>
  <si>
    <t>计算机应用基础</t>
  </si>
  <si>
    <t>AutoCAD</t>
  </si>
  <si>
    <t>20建筑工程技术</t>
  </si>
  <si>
    <t>制图基础实训</t>
  </si>
  <si>
    <t>工程制图基础</t>
  </si>
  <si>
    <t>李星</t>
    <phoneticPr fontId="3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</si>
</sst>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 x14ac:knownFonts="1">
    <font>
      <sz val="10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b/>
      <sz val="20"/>
      <name val="黑体"/>
      <charset val="134"/>
    </font>
    <font>
      <sz val="9"/>
      <name val="宋体"/>
      <charset val="134"/>
      <scheme val="minor"/>
    </font>
    <font>
      <sz val="9"/>
      <color rgb="FF000000"/>
      <name val="宋体"/>
      <charset val="134"/>
      <scheme val="minor"/>
    </font>
    <font>
      <sz val="9"/>
      <color theme="1"/>
      <name val="宋体"/>
      <charset val="134"/>
    </font>
    <font>
      <sz val="9"/>
      <color rgb="FF000000"/>
      <name val="宋体"/>
      <charset val="134"/>
    </font>
    <font>
      <b/>
      <sz val="9"/>
      <name val="黑体"/>
      <charset val="134"/>
    </font>
    <font>
      <sz val="9"/>
      <color theme="1" tint="0.14996795556505021"/>
      <name val="宋体"/>
      <charset val="134"/>
    </font>
    <font>
      <sz val="9"/>
      <color rgb="FF000000"/>
      <name val="Times New Roman"/>
    </font>
    <font>
      <sz val="9"/>
      <color rgb="FF000000"/>
      <name val="宋体"/>
      <charset val="134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4"/>
      <name val="宋体"/>
      <charset val="134"/>
    </font>
    <font>
      <b/>
      <sz val="10"/>
      <name val="宋体"/>
      <charset val="134"/>
    </font>
    <font>
      <sz val="18"/>
      <name val="宋体"/>
      <charset val="134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sz val="11"/>
      <color rgb="FF000000"/>
      <name val="宋体"/>
      <charset val="134"/>
    </font>
    <font>
      <b/>
      <sz val="18"/>
      <name val="宋体"/>
      <charset val="134"/>
    </font>
    <font>
      <sz val="11"/>
      <name val="宋体"/>
      <charset val="134"/>
    </font>
    <font>
      <b/>
      <sz val="16"/>
      <name val="Times New Roman"/>
      <family val="1"/>
    </font>
    <font>
      <b/>
      <sz val="9"/>
      <name val="宋体"/>
      <charset val="134"/>
      <scheme val="minor"/>
    </font>
    <font>
      <sz val="9"/>
      <name val="Wingdings"/>
      <charset val="2"/>
    </font>
    <font>
      <b/>
      <sz val="9"/>
      <color rgb="FFC00000"/>
      <name val="宋体"/>
      <charset val="134"/>
    </font>
    <font>
      <b/>
      <sz val="10"/>
      <color rgb="FF002060"/>
      <name val="宋体"/>
      <charset val="134"/>
    </font>
    <font>
      <b/>
      <sz val="9"/>
      <color theme="1"/>
      <name val="宋体"/>
      <charset val="134"/>
      <scheme val="minor"/>
    </font>
    <font>
      <b/>
      <sz val="16"/>
      <name val="宋体"/>
      <charset val="134"/>
    </font>
    <font>
      <b/>
      <sz val="14"/>
      <color theme="1"/>
      <name val="宋体"/>
      <charset val="134"/>
    </font>
    <font>
      <b/>
      <sz val="14"/>
      <color theme="1"/>
      <name val="Times New Roman"/>
      <family val="1"/>
    </font>
    <font>
      <b/>
      <sz val="14"/>
      <color rgb="FFFF0000"/>
      <name val="宋体"/>
      <charset val="134"/>
    </font>
    <font>
      <b/>
      <sz val="14"/>
      <color rgb="FFFF0000"/>
      <name val="Times New Roman"/>
      <family val="1"/>
    </font>
    <font>
      <b/>
      <sz val="9"/>
      <name val="宋体"/>
      <charset val="134"/>
    </font>
    <font>
      <sz val="10"/>
      <name val="宋体"/>
      <charset val="134"/>
    </font>
    <font>
      <sz val="9"/>
      <name val="宋体"/>
      <family val="3"/>
      <charset val="134"/>
    </font>
    <font>
      <sz val="18"/>
      <name val="宋体"/>
      <family val="3"/>
      <charset val="134"/>
    </font>
    <font>
      <sz val="9"/>
      <color rgb="FFFF0000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</font>
    <font>
      <sz val="12"/>
      <color theme="1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7">
    <xf numFmtId="0" fontId="0" fillId="0" borderId="0"/>
    <xf numFmtId="0" fontId="2" fillId="0" borderId="0">
      <alignment vertical="center"/>
    </xf>
    <xf numFmtId="0" fontId="35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35" fillId="0" borderId="0"/>
  </cellStyleXfs>
  <cellXfs count="20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9" xfId="0" applyFont="1" applyBorder="1" applyAlignment="1">
      <alignment horizontal="center" vertical="center"/>
    </xf>
    <xf numFmtId="0" fontId="0" fillId="0" borderId="9" xfId="0" applyBorder="1"/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shrinkToFit="1"/>
    </xf>
    <xf numFmtId="0" fontId="3" fillId="0" borderId="0" xfId="0" applyFont="1" applyFill="1" applyBorder="1" applyAlignment="1">
      <alignment horizontal="center" vertical="center" shrinkToFit="1"/>
    </xf>
    <xf numFmtId="0" fontId="3" fillId="0" borderId="0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textRotation="255" wrapText="1"/>
    </xf>
    <xf numFmtId="0" fontId="5" fillId="0" borderId="9" xfId="0" applyFont="1" applyFill="1" applyBorder="1" applyAlignment="1">
      <alignment horizontal="left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textRotation="255" wrapText="1"/>
    </xf>
    <xf numFmtId="0" fontId="6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vertical="center"/>
    </xf>
    <xf numFmtId="0" fontId="6" fillId="0" borderId="9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left" vertical="center"/>
    </xf>
    <xf numFmtId="0" fontId="7" fillId="0" borderId="9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 textRotation="255"/>
    </xf>
    <xf numFmtId="0" fontId="8" fillId="0" borderId="9" xfId="0" applyFont="1" applyFill="1" applyBorder="1" applyAlignment="1">
      <alignment horizontal="justify" vertical="center" wrapText="1"/>
    </xf>
    <xf numFmtId="0" fontId="3" fillId="0" borderId="9" xfId="0" applyFont="1" applyFill="1" applyBorder="1" applyAlignment="1">
      <alignment horizontal="left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 textRotation="255"/>
    </xf>
    <xf numFmtId="0" fontId="3" fillId="0" borderId="0" xfId="0" applyFont="1" applyFill="1" applyBorder="1" applyAlignment="1">
      <alignment horizontal="left" vertical="center"/>
    </xf>
    <xf numFmtId="0" fontId="3" fillId="0" borderId="9" xfId="0" applyNumberFormat="1" applyFont="1" applyFill="1" applyBorder="1" applyAlignment="1">
      <alignment horizontal="center" vertical="center" wrapText="1"/>
    </xf>
    <xf numFmtId="0" fontId="3" fillId="0" borderId="9" xfId="0" applyNumberFormat="1" applyFont="1" applyFill="1" applyBorder="1" applyAlignment="1">
      <alignment horizontal="center" vertical="center" textRotation="255" wrapText="1"/>
    </xf>
    <xf numFmtId="0" fontId="3" fillId="0" borderId="9" xfId="0" applyNumberFormat="1" applyFont="1" applyFill="1" applyBorder="1" applyAlignment="1">
      <alignment horizontal="left" vertical="center" wrapText="1"/>
    </xf>
    <xf numFmtId="0" fontId="3" fillId="0" borderId="9" xfId="0" applyFont="1" applyFill="1" applyBorder="1" applyAlignment="1">
      <alignment vertical="center"/>
    </xf>
    <xf numFmtId="0" fontId="5" fillId="2" borderId="13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textRotation="255" shrinkToFit="1"/>
    </xf>
    <xf numFmtId="0" fontId="3" fillId="0" borderId="9" xfId="0" applyFont="1" applyFill="1" applyBorder="1" applyAlignment="1">
      <alignment horizontal="center" vertical="center" textRotation="255" shrinkToFit="1"/>
    </xf>
    <xf numFmtId="0" fontId="5" fillId="0" borderId="13" xfId="0" applyNumberFormat="1" applyFont="1" applyFill="1" applyBorder="1" applyAlignment="1">
      <alignment horizontal="center" vertical="center" wrapText="1" shrinkToFit="1"/>
    </xf>
    <xf numFmtId="0" fontId="5" fillId="0" borderId="14" xfId="0" applyNumberFormat="1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vertical="center" textRotation="255" shrinkToFit="1"/>
    </xf>
    <xf numFmtId="0" fontId="3" fillId="0" borderId="9" xfId="0" applyFont="1" applyFill="1" applyBorder="1" applyAlignment="1">
      <alignment vertical="center" textRotation="255"/>
    </xf>
    <xf numFmtId="0" fontId="8" fillId="0" borderId="9" xfId="0" applyFont="1" applyFill="1" applyBorder="1" applyAlignment="1">
      <alignment horizontal="center" vertical="center" shrinkToFit="1"/>
    </xf>
    <xf numFmtId="0" fontId="3" fillId="0" borderId="9" xfId="0" applyNumberFormat="1" applyFont="1" applyFill="1" applyBorder="1" applyAlignment="1">
      <alignment horizontal="center" vertical="center"/>
    </xf>
    <xf numFmtId="0" fontId="3" fillId="0" borderId="9" xfId="1" applyNumberFormat="1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shrinkToFit="1"/>
    </xf>
    <xf numFmtId="0" fontId="10" fillId="0" borderId="9" xfId="0" applyNumberFormat="1" applyFont="1" applyFill="1" applyBorder="1" applyAlignment="1">
      <alignment horizontal="center" vertical="center" wrapText="1"/>
    </xf>
    <xf numFmtId="0" fontId="7" fillId="0" borderId="9" xfId="0" applyNumberFormat="1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left" vertical="center" wrapText="1"/>
    </xf>
    <xf numFmtId="0" fontId="11" fillId="0" borderId="9" xfId="0" applyFont="1" applyFill="1" applyBorder="1" applyAlignment="1">
      <alignment horizontal="left" vertical="center"/>
    </xf>
    <xf numFmtId="0" fontId="12" fillId="0" borderId="9" xfId="0" applyFont="1" applyFill="1" applyBorder="1" applyAlignment="1">
      <alignment horizontal="left" vertical="center"/>
    </xf>
    <xf numFmtId="0" fontId="3" fillId="0" borderId="9" xfId="0" applyFont="1" applyFill="1" applyBorder="1" applyAlignment="1">
      <alignment horizontal="center" vertical="center" wrapText="1"/>
    </xf>
    <xf numFmtId="0" fontId="3" fillId="0" borderId="6" xfId="0" applyNumberFormat="1" applyFont="1" applyFill="1" applyBorder="1" applyAlignment="1">
      <alignment horizontal="center" vertical="center" wrapText="1"/>
    </xf>
    <xf numFmtId="0" fontId="3" fillId="0" borderId="6" xfId="0" applyNumberFormat="1" applyFont="1" applyFill="1" applyBorder="1" applyAlignment="1">
      <alignment horizontal="center" vertical="center" textRotation="255" wrapText="1"/>
    </xf>
    <xf numFmtId="0" fontId="3" fillId="0" borderId="9" xfId="4" applyNumberFormat="1" applyFont="1" applyFill="1" applyBorder="1" applyAlignment="1">
      <alignment horizontal="left" vertical="center" wrapText="1"/>
    </xf>
    <xf numFmtId="0" fontId="3" fillId="0" borderId="15" xfId="0" applyNumberFormat="1" applyFont="1" applyFill="1" applyBorder="1" applyAlignment="1">
      <alignment horizontal="center" vertical="center" wrapText="1"/>
    </xf>
    <xf numFmtId="0" fontId="3" fillId="0" borderId="15" xfId="0" applyNumberFormat="1" applyFont="1" applyFill="1" applyBorder="1" applyAlignment="1">
      <alignment horizontal="center" vertical="center" textRotation="255" wrapText="1"/>
    </xf>
    <xf numFmtId="0" fontId="3" fillId="0" borderId="9" xfId="0" applyNumberFormat="1" applyFont="1" applyFill="1" applyBorder="1" applyAlignment="1">
      <alignment vertical="center" textRotation="255" wrapText="1"/>
    </xf>
    <xf numFmtId="0" fontId="3" fillId="0" borderId="9" xfId="5" applyNumberFormat="1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vertical="center"/>
    </xf>
    <xf numFmtId="0" fontId="7" fillId="3" borderId="9" xfId="0" applyFont="1" applyFill="1" applyBorder="1" applyAlignment="1">
      <alignment vertical="center"/>
    </xf>
    <xf numFmtId="0" fontId="3" fillId="0" borderId="15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textRotation="255" wrapText="1"/>
    </xf>
    <xf numFmtId="0" fontId="7" fillId="3" borderId="9" xfId="0" applyFont="1" applyFill="1" applyBorder="1" applyAlignment="1">
      <alignment horizontal="left" vertical="center"/>
    </xf>
    <xf numFmtId="0" fontId="8" fillId="3" borderId="9" xfId="0" applyFont="1" applyFill="1" applyBorder="1" applyAlignment="1">
      <alignment horizontal="justify" vertical="center" wrapText="1"/>
    </xf>
    <xf numFmtId="0" fontId="7" fillId="3" borderId="1" xfId="0" applyFont="1" applyFill="1" applyBorder="1" applyAlignment="1">
      <alignment vertical="center" wrapText="1"/>
    </xf>
    <xf numFmtId="0" fontId="13" fillId="3" borderId="9" xfId="0" applyFont="1" applyFill="1" applyBorder="1" applyAlignment="1">
      <alignment horizontal="justify" vertical="center" wrapText="1"/>
    </xf>
    <xf numFmtId="0" fontId="3" fillId="3" borderId="12" xfId="0" applyFont="1" applyFill="1" applyBorder="1" applyAlignment="1">
      <alignment horizontal="left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textRotation="255" wrapText="1"/>
    </xf>
    <xf numFmtId="0" fontId="3" fillId="0" borderId="11" xfId="0" applyNumberFormat="1" applyFont="1" applyFill="1" applyBorder="1" applyAlignment="1">
      <alignment horizontal="center" vertical="center" textRotation="255" wrapText="1"/>
    </xf>
    <xf numFmtId="0" fontId="3" fillId="0" borderId="11" xfId="0" applyFont="1" applyFill="1" applyBorder="1" applyAlignment="1">
      <alignment horizontal="center" vertical="center" textRotation="255" wrapText="1"/>
    </xf>
    <xf numFmtId="0" fontId="3" fillId="0" borderId="9" xfId="0" applyFont="1" applyFill="1" applyBorder="1" applyAlignment="1">
      <alignment vertical="center" textRotation="255" shrinkToFit="1"/>
    </xf>
    <xf numFmtId="0" fontId="3" fillId="0" borderId="12" xfId="0" applyFont="1" applyFill="1" applyBorder="1" applyAlignment="1">
      <alignment vertical="center" textRotation="255" shrinkToFit="1"/>
    </xf>
    <xf numFmtId="0" fontId="14" fillId="0" borderId="9" xfId="0" applyFont="1" applyFill="1" applyBorder="1" applyAlignment="1">
      <alignment horizontal="left"/>
    </xf>
    <xf numFmtId="0" fontId="13" fillId="0" borderId="9" xfId="0" applyFont="1" applyFill="1" applyBorder="1" applyAlignment="1">
      <alignment horizontal="center"/>
    </xf>
    <xf numFmtId="0" fontId="13" fillId="0" borderId="9" xfId="0" applyFont="1" applyFill="1" applyBorder="1" applyAlignment="1">
      <alignment horizontal="center" vertical="center"/>
    </xf>
    <xf numFmtId="0" fontId="3" fillId="0" borderId="10" xfId="0" applyNumberFormat="1" applyFont="1" applyFill="1" applyBorder="1" applyAlignment="1">
      <alignment horizontal="center" vertical="center" textRotation="255" wrapText="1"/>
    </xf>
    <xf numFmtId="0" fontId="3" fillId="3" borderId="9" xfId="0" applyFont="1" applyFill="1" applyBorder="1" applyAlignment="1">
      <alignment horizontal="left" vertical="center"/>
    </xf>
    <xf numFmtId="0" fontId="3" fillId="0" borderId="10" xfId="0" applyFont="1" applyFill="1" applyBorder="1" applyAlignment="1">
      <alignment horizontal="center" vertical="center" textRotation="255"/>
    </xf>
    <xf numFmtId="0" fontId="3" fillId="3" borderId="9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 textRotation="255"/>
    </xf>
    <xf numFmtId="0" fontId="3" fillId="3" borderId="10" xfId="0" applyFont="1" applyFill="1" applyBorder="1" applyAlignment="1">
      <alignment horizontal="center" vertical="center" textRotation="255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4" borderId="0" xfId="0" applyFont="1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15" fillId="0" borderId="0" xfId="0" applyFont="1"/>
    <xf numFmtId="0" fontId="16" fillId="0" borderId="0" xfId="0" applyFont="1"/>
    <xf numFmtId="0" fontId="15" fillId="4" borderId="0" xfId="0" applyFont="1" applyFill="1" applyAlignment="1">
      <alignment horizontal="center" vertical="center"/>
    </xf>
    <xf numFmtId="0" fontId="19" fillId="3" borderId="9" xfId="0" applyFont="1" applyFill="1" applyBorder="1" applyAlignment="1">
      <alignment horizontal="center" vertical="center" wrapText="1"/>
    </xf>
    <xf numFmtId="0" fontId="18" fillId="0" borderId="9" xfId="2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18" fillId="3" borderId="9" xfId="0" applyFont="1" applyFill="1" applyBorder="1" applyAlignment="1">
      <alignment horizontal="center" vertical="center" wrapText="1"/>
    </xf>
    <xf numFmtId="0" fontId="18" fillId="0" borderId="9" xfId="0" applyFont="1" applyFill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/>
    </xf>
    <xf numFmtId="0" fontId="16" fillId="6" borderId="10" xfId="0" applyFont="1" applyFill="1" applyBorder="1" applyAlignment="1">
      <alignment horizontal="right" vertical="center"/>
    </xf>
    <xf numFmtId="0" fontId="16" fillId="6" borderId="15" xfId="0" applyFont="1" applyFill="1" applyBorder="1" applyAlignment="1">
      <alignment horizontal="left" vertical="center"/>
    </xf>
    <xf numFmtId="0" fontId="16" fillId="0" borderId="12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 wrapText="1"/>
    </xf>
    <xf numFmtId="0" fontId="0" fillId="0" borderId="0" xfId="0" applyFont="1"/>
    <xf numFmtId="0" fontId="2" fillId="0" borderId="0" xfId="0" applyFont="1" applyFill="1"/>
    <xf numFmtId="0" fontId="3" fillId="0" borderId="0" xfId="0" applyFont="1" applyFill="1"/>
    <xf numFmtId="0" fontId="16" fillId="0" borderId="0" xfId="0" applyFont="1" applyFill="1"/>
    <xf numFmtId="0" fontId="0" fillId="0" borderId="0" xfId="0" applyFill="1"/>
    <xf numFmtId="0" fontId="24" fillId="7" borderId="9" xfId="2" applyFont="1" applyFill="1" applyBorder="1" applyAlignment="1">
      <alignment horizontal="center" vertical="center" wrapText="1"/>
    </xf>
    <xf numFmtId="0" fontId="5" fillId="0" borderId="9" xfId="2" applyFont="1" applyFill="1" applyBorder="1" applyAlignment="1">
      <alignment horizontal="center" vertical="center" wrapText="1"/>
    </xf>
    <xf numFmtId="0" fontId="24" fillId="2" borderId="9" xfId="0" applyFont="1" applyFill="1" applyBorder="1" applyAlignment="1">
      <alignment horizontal="center" vertical="center" wrapText="1"/>
    </xf>
    <xf numFmtId="0" fontId="24" fillId="8" borderId="9" xfId="0" applyFont="1" applyFill="1" applyBorder="1" applyAlignment="1">
      <alignment horizontal="center" vertical="center" wrapText="1"/>
    </xf>
    <xf numFmtId="0" fontId="25" fillId="0" borderId="9" xfId="0" applyFont="1" applyFill="1" applyBorder="1" applyAlignment="1">
      <alignment horizontal="center" vertical="center" wrapText="1"/>
    </xf>
    <xf numFmtId="0" fontId="26" fillId="0" borderId="9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vertical="center" wrapText="1"/>
    </xf>
    <xf numFmtId="0" fontId="24" fillId="0" borderId="9" xfId="0" applyFont="1" applyFill="1" applyBorder="1" applyAlignment="1">
      <alignment horizontal="center" vertical="center" wrapText="1"/>
    </xf>
    <xf numFmtId="0" fontId="28" fillId="0" borderId="9" xfId="2" applyFont="1" applyFill="1" applyBorder="1" applyAlignment="1">
      <alignment horizontal="center" vertical="center" wrapText="1"/>
    </xf>
    <xf numFmtId="0" fontId="24" fillId="0" borderId="16" xfId="0" quotePrefix="1" applyFont="1" applyFill="1" applyBorder="1" applyAlignment="1">
      <alignment horizontal="center" vertical="center" wrapText="1"/>
    </xf>
    <xf numFmtId="0" fontId="5" fillId="0" borderId="9" xfId="0" quotePrefix="1" applyFont="1" applyFill="1" applyBorder="1" applyAlignment="1">
      <alignment horizontal="center" vertical="center" wrapText="1"/>
    </xf>
    <xf numFmtId="0" fontId="18" fillId="0" borderId="16" xfId="0" quotePrefix="1" applyFont="1" applyBorder="1" applyAlignment="1">
      <alignment horizontal="center" vertical="center" wrapText="1"/>
    </xf>
    <xf numFmtId="0" fontId="19" fillId="3" borderId="9" xfId="0" quotePrefix="1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left" vertical="center"/>
    </xf>
    <xf numFmtId="0" fontId="5" fillId="4" borderId="9" xfId="0" applyFont="1" applyFill="1" applyBorder="1" applyAlignment="1">
      <alignment horizontal="center" vertical="center" textRotation="255"/>
    </xf>
    <xf numFmtId="0" fontId="5" fillId="4" borderId="9" xfId="0" applyFont="1" applyFill="1" applyBorder="1" applyAlignment="1">
      <alignment horizontal="center" vertical="center" textRotation="255" shrinkToFit="1"/>
    </xf>
    <xf numFmtId="0" fontId="5" fillId="4" borderId="9" xfId="0" applyFont="1" applyFill="1" applyBorder="1" applyAlignment="1">
      <alignment vertical="center" textRotation="255" shrinkToFit="1"/>
    </xf>
    <xf numFmtId="0" fontId="8" fillId="4" borderId="9" xfId="0" applyFont="1" applyFill="1" applyBorder="1" applyAlignment="1">
      <alignment horizontal="center" vertical="center" shrinkToFit="1"/>
    </xf>
    <xf numFmtId="0" fontId="3" fillId="4" borderId="9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 textRotation="255"/>
    </xf>
    <xf numFmtId="0" fontId="3" fillId="4" borderId="9" xfId="0" applyNumberFormat="1" applyFont="1" applyFill="1" applyBorder="1" applyAlignment="1">
      <alignment horizontal="center" vertical="center" wrapText="1"/>
    </xf>
    <xf numFmtId="0" fontId="3" fillId="4" borderId="9" xfId="0" applyNumberFormat="1" applyFont="1" applyFill="1" applyBorder="1" applyAlignment="1">
      <alignment horizontal="center" vertical="center" textRotation="255" wrapText="1"/>
    </xf>
    <xf numFmtId="0" fontId="3" fillId="4" borderId="9" xfId="0" applyFont="1" applyFill="1" applyBorder="1" applyAlignment="1">
      <alignment horizontal="left" vertical="center"/>
    </xf>
    <xf numFmtId="0" fontId="23" fillId="0" borderId="10" xfId="0" applyFont="1" applyFill="1" applyBorder="1" applyAlignment="1">
      <alignment horizontal="center" vertical="center" wrapText="1"/>
    </xf>
    <xf numFmtId="0" fontId="23" fillId="0" borderId="11" xfId="0" applyFont="1" applyFill="1" applyBorder="1" applyAlignment="1">
      <alignment horizontal="center" vertical="center" wrapText="1"/>
    </xf>
    <xf numFmtId="0" fontId="27" fillId="0" borderId="0" xfId="0" applyFont="1" applyFill="1" applyAlignment="1">
      <alignment horizontal="left" vertical="center"/>
    </xf>
    <xf numFmtId="0" fontId="21" fillId="0" borderId="0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22" fillId="0" borderId="9" xfId="0" applyFont="1" applyBorder="1" applyAlignment="1">
      <alignment horizontal="left" vertical="top" wrapText="1"/>
    </xf>
    <xf numFmtId="0" fontId="22" fillId="0" borderId="9" xfId="0" applyFont="1" applyBorder="1" applyAlignment="1">
      <alignment horizontal="left" vertical="top"/>
    </xf>
    <xf numFmtId="0" fontId="37" fillId="0" borderId="10" xfId="0" applyFont="1" applyFill="1" applyBorder="1" applyAlignment="1">
      <alignment horizontal="center" vertical="center"/>
    </xf>
    <xf numFmtId="0" fontId="17" fillId="0" borderId="15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 textRotation="255" wrapText="1"/>
    </xf>
    <xf numFmtId="0" fontId="3" fillId="0" borderId="14" xfId="0" applyFont="1" applyFill="1" applyBorder="1" applyAlignment="1">
      <alignment horizontal="center" vertical="center" textRotation="255" wrapText="1"/>
    </xf>
    <xf numFmtId="0" fontId="3" fillId="0" borderId="13" xfId="0" applyFont="1" applyFill="1" applyBorder="1" applyAlignment="1">
      <alignment horizontal="center" vertical="center" textRotation="255" wrapText="1"/>
    </xf>
    <xf numFmtId="0" fontId="4" fillId="0" borderId="10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 shrinkToFit="1"/>
    </xf>
    <xf numFmtId="0" fontId="9" fillId="0" borderId="11" xfId="0" applyFont="1" applyFill="1" applyBorder="1" applyAlignment="1">
      <alignment horizontal="center" vertical="center" shrinkToFit="1"/>
    </xf>
    <xf numFmtId="0" fontId="9" fillId="0" borderId="15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 textRotation="255" wrapText="1"/>
    </xf>
    <xf numFmtId="0" fontId="5" fillId="0" borderId="13" xfId="0" applyFont="1" applyFill="1" applyBorder="1" applyAlignment="1">
      <alignment horizontal="center" vertical="center" textRotation="255" wrapText="1"/>
    </xf>
    <xf numFmtId="0" fontId="5" fillId="0" borderId="12" xfId="0" applyFont="1" applyFill="1" applyBorder="1" applyAlignment="1">
      <alignment horizontal="center" vertical="center" textRotation="255" wrapText="1"/>
    </xf>
    <xf numFmtId="0" fontId="5" fillId="4" borderId="14" xfId="0" applyFont="1" applyFill="1" applyBorder="1" applyAlignment="1">
      <alignment horizontal="center" vertical="center" textRotation="255" shrinkToFit="1"/>
    </xf>
    <xf numFmtId="0" fontId="5" fillId="4" borderId="13" xfId="0" applyFont="1" applyFill="1" applyBorder="1" applyAlignment="1">
      <alignment horizontal="center" vertical="center" textRotation="255" shrinkToFit="1"/>
    </xf>
    <xf numFmtId="0" fontId="5" fillId="4" borderId="12" xfId="0" applyFont="1" applyFill="1" applyBorder="1" applyAlignment="1">
      <alignment horizontal="center" vertical="center" textRotation="255" shrinkToFit="1"/>
    </xf>
    <xf numFmtId="0" fontId="3" fillId="0" borderId="9" xfId="0" applyFont="1" applyFill="1" applyBorder="1" applyAlignment="1">
      <alignment horizontal="center" vertical="center" textRotation="255"/>
    </xf>
    <xf numFmtId="0" fontId="3" fillId="0" borderId="14" xfId="0" applyNumberFormat="1" applyFont="1" applyFill="1" applyBorder="1" applyAlignment="1">
      <alignment horizontal="center" vertical="center" textRotation="255" wrapText="1"/>
    </xf>
    <xf numFmtId="0" fontId="3" fillId="0" borderId="13" xfId="0" applyNumberFormat="1" applyFont="1" applyFill="1" applyBorder="1" applyAlignment="1">
      <alignment horizontal="center" vertical="center" textRotation="255" wrapText="1"/>
    </xf>
    <xf numFmtId="0" fontId="3" fillId="0" borderId="12" xfId="0" applyNumberFormat="1" applyFont="1" applyFill="1" applyBorder="1" applyAlignment="1">
      <alignment horizontal="center" vertical="center" textRotation="255" wrapText="1"/>
    </xf>
    <xf numFmtId="0" fontId="3" fillId="0" borderId="9" xfId="0" applyNumberFormat="1" applyFont="1" applyFill="1" applyBorder="1" applyAlignment="1">
      <alignment horizontal="center" vertical="center" textRotation="255" wrapText="1"/>
    </xf>
    <xf numFmtId="0" fontId="3" fillId="0" borderId="6" xfId="0" applyNumberFormat="1" applyFont="1" applyFill="1" applyBorder="1" applyAlignment="1">
      <alignment horizontal="center" vertical="center" textRotation="255" wrapText="1"/>
    </xf>
    <xf numFmtId="0" fontId="3" fillId="0" borderId="7" xfId="0" applyNumberFormat="1" applyFont="1" applyFill="1" applyBorder="1" applyAlignment="1">
      <alignment horizontal="center" vertical="center" textRotation="255" wrapText="1"/>
    </xf>
    <xf numFmtId="0" fontId="3" fillId="0" borderId="8" xfId="0" applyNumberFormat="1" applyFont="1" applyFill="1" applyBorder="1" applyAlignment="1">
      <alignment horizontal="center" vertical="center" textRotation="255" wrapText="1"/>
    </xf>
    <xf numFmtId="0" fontId="5" fillId="0" borderId="14" xfId="0" applyFont="1" applyFill="1" applyBorder="1" applyAlignment="1">
      <alignment horizontal="center" vertical="center" textRotation="255" shrinkToFit="1"/>
    </xf>
    <xf numFmtId="0" fontId="5" fillId="0" borderId="13" xfId="0" applyFont="1" applyFill="1" applyBorder="1" applyAlignment="1">
      <alignment horizontal="center" vertical="center" textRotation="255" shrinkToFit="1"/>
    </xf>
    <xf numFmtId="0" fontId="5" fillId="0" borderId="12" xfId="0" applyFont="1" applyFill="1" applyBorder="1" applyAlignment="1">
      <alignment horizontal="center" vertical="center" textRotation="255" shrinkToFit="1"/>
    </xf>
    <xf numFmtId="0" fontId="3" fillId="0" borderId="14" xfId="0" applyFont="1" applyFill="1" applyBorder="1" applyAlignment="1">
      <alignment horizontal="center" vertical="center" textRotation="255" shrinkToFit="1"/>
    </xf>
    <xf numFmtId="0" fontId="3" fillId="0" borderId="13" xfId="0" applyFont="1" applyFill="1" applyBorder="1" applyAlignment="1">
      <alignment horizontal="center" vertical="center" textRotation="255" shrinkToFit="1"/>
    </xf>
    <xf numFmtId="0" fontId="3" fillId="0" borderId="12" xfId="0" applyFont="1" applyFill="1" applyBorder="1" applyAlignment="1">
      <alignment horizontal="center" vertical="center" textRotation="255" shrinkToFit="1"/>
    </xf>
    <xf numFmtId="0" fontId="3" fillId="0" borderId="9" xfId="0" applyFont="1" applyFill="1" applyBorder="1" applyAlignment="1">
      <alignment horizontal="center" vertical="center" textRotation="255" shrinkToFit="1"/>
    </xf>
    <xf numFmtId="0" fontId="5" fillId="0" borderId="1" xfId="0" applyFont="1" applyFill="1" applyBorder="1" applyAlignment="1">
      <alignment horizontal="center" vertical="center" textRotation="255" wrapText="1"/>
    </xf>
    <xf numFmtId="0" fontId="5" fillId="0" borderId="6" xfId="0" applyFont="1" applyFill="1" applyBorder="1" applyAlignment="1">
      <alignment horizontal="center" vertical="center" textRotation="255" wrapText="1"/>
    </xf>
    <xf numFmtId="0" fontId="5" fillId="0" borderId="3" xfId="0" applyFont="1" applyFill="1" applyBorder="1" applyAlignment="1">
      <alignment horizontal="center" vertical="center" textRotation="255" wrapText="1"/>
    </xf>
    <xf numFmtId="0" fontId="5" fillId="0" borderId="7" xfId="0" applyFont="1" applyFill="1" applyBorder="1" applyAlignment="1">
      <alignment horizontal="center" vertical="center" textRotation="255" wrapText="1"/>
    </xf>
    <xf numFmtId="0" fontId="5" fillId="0" borderId="4" xfId="0" applyFont="1" applyFill="1" applyBorder="1" applyAlignment="1">
      <alignment horizontal="center" vertical="center" textRotation="255" wrapText="1"/>
    </xf>
    <xf numFmtId="0" fontId="5" fillId="0" borderId="8" xfId="0" applyFont="1" applyFill="1" applyBorder="1" applyAlignment="1">
      <alignment horizontal="center" vertical="center" textRotation="255" wrapText="1"/>
    </xf>
    <xf numFmtId="0" fontId="3" fillId="4" borderId="9" xfId="0" applyNumberFormat="1" applyFont="1" applyFill="1" applyBorder="1" applyAlignment="1">
      <alignment vertical="center" textRotation="255" wrapText="1"/>
    </xf>
    <xf numFmtId="0" fontId="39" fillId="0" borderId="13" xfId="0" applyFont="1" applyFill="1" applyBorder="1" applyAlignment="1">
      <alignment horizontal="center" vertical="center" wrapText="1"/>
    </xf>
    <xf numFmtId="0" fontId="39" fillId="0" borderId="14" xfId="0" applyFont="1" applyFill="1" applyBorder="1" applyAlignment="1">
      <alignment horizontal="center" vertical="center" textRotation="255" wrapText="1"/>
    </xf>
    <xf numFmtId="0" fontId="39" fillId="0" borderId="13" xfId="0" applyFont="1" applyFill="1" applyBorder="1" applyAlignment="1">
      <alignment horizontal="center" vertical="center" textRotation="255" wrapText="1"/>
    </xf>
    <xf numFmtId="0" fontId="39" fillId="0" borderId="12" xfId="0" applyFont="1" applyFill="1" applyBorder="1" applyAlignment="1">
      <alignment horizontal="center" vertical="center" textRotation="255" wrapText="1"/>
    </xf>
    <xf numFmtId="0" fontId="39" fillId="0" borderId="9" xfId="0" applyFont="1" applyFill="1" applyBorder="1" applyAlignment="1">
      <alignment horizontal="center" vertical="center" textRotation="255" wrapText="1"/>
    </xf>
    <xf numFmtId="0" fontId="39" fillId="0" borderId="9" xfId="0" applyFont="1" applyFill="1" applyBorder="1" applyAlignment="1">
      <alignment horizontal="center" vertical="center" textRotation="255"/>
    </xf>
    <xf numFmtId="0" fontId="40" fillId="0" borderId="9" xfId="0" applyFont="1" applyFill="1" applyBorder="1" applyAlignment="1">
      <alignment horizontal="center" vertical="center" textRotation="255"/>
    </xf>
    <xf numFmtId="0" fontId="40" fillId="0" borderId="9" xfId="0" applyNumberFormat="1" applyFont="1" applyFill="1" applyBorder="1" applyAlignment="1">
      <alignment horizontal="center" vertical="center" textRotation="255" wrapText="1"/>
    </xf>
    <xf numFmtId="0" fontId="40" fillId="4" borderId="9" xfId="0" applyNumberFormat="1" applyFont="1" applyFill="1" applyBorder="1" applyAlignment="1">
      <alignment horizontal="center" vertical="center" textRotation="255" wrapText="1"/>
    </xf>
    <xf numFmtId="0" fontId="40" fillId="0" borderId="9" xfId="0" applyFont="1" applyFill="1" applyBorder="1" applyAlignment="1">
      <alignment horizontal="center" vertical="center" textRotation="255" wrapText="1"/>
    </xf>
    <xf numFmtId="0" fontId="40" fillId="0" borderId="6" xfId="0" applyNumberFormat="1" applyFont="1" applyFill="1" applyBorder="1" applyAlignment="1">
      <alignment horizontal="center" vertical="center" textRotation="255" wrapText="1"/>
    </xf>
    <xf numFmtId="0" fontId="40" fillId="0" borderId="15" xfId="0" applyNumberFormat="1" applyFont="1" applyFill="1" applyBorder="1" applyAlignment="1">
      <alignment horizontal="center" vertical="center" textRotation="255" wrapText="1"/>
    </xf>
    <xf numFmtId="0" fontId="40" fillId="0" borderId="15" xfId="0" applyFont="1" applyFill="1" applyBorder="1" applyAlignment="1">
      <alignment horizontal="center" vertical="center" textRotation="255" wrapText="1"/>
    </xf>
    <xf numFmtId="0" fontId="40" fillId="0" borderId="9" xfId="0" applyNumberFormat="1" applyFont="1" applyFill="1" applyBorder="1" applyAlignment="1">
      <alignment vertical="center" textRotation="255" wrapText="1"/>
    </xf>
    <xf numFmtId="0" fontId="40" fillId="0" borderId="12" xfId="0" applyFont="1" applyFill="1" applyBorder="1" applyAlignment="1">
      <alignment horizontal="center" vertical="center" textRotation="255" wrapText="1"/>
    </xf>
    <xf numFmtId="0" fontId="40" fillId="0" borderId="11" xfId="0" applyNumberFormat="1" applyFont="1" applyFill="1" applyBorder="1" applyAlignment="1">
      <alignment horizontal="center" vertical="center" textRotation="255" wrapText="1"/>
    </xf>
    <xf numFmtId="0" fontId="40" fillId="0" borderId="11" xfId="0" applyFont="1" applyFill="1" applyBorder="1" applyAlignment="1">
      <alignment horizontal="center" vertical="center" textRotation="255" wrapText="1"/>
    </xf>
    <xf numFmtId="0" fontId="40" fillId="0" borderId="10" xfId="0" applyFont="1" applyFill="1" applyBorder="1" applyAlignment="1">
      <alignment horizontal="center" vertical="center" textRotation="255" wrapText="1"/>
    </xf>
    <xf numFmtId="0" fontId="40" fillId="0" borderId="10" xfId="0" applyNumberFormat="1" applyFont="1" applyFill="1" applyBorder="1" applyAlignment="1">
      <alignment horizontal="center" vertical="center" textRotation="255" wrapText="1"/>
    </xf>
    <xf numFmtId="0" fontId="40" fillId="0" borderId="4" xfId="0" applyFont="1" applyFill="1" applyBorder="1" applyAlignment="1">
      <alignment horizontal="center" vertical="center" textRotation="255" wrapText="1"/>
    </xf>
    <xf numFmtId="0" fontId="40" fillId="0" borderId="10" xfId="0" applyNumberFormat="1" applyFont="1" applyFill="1" applyBorder="1" applyAlignment="1">
      <alignment vertical="center" textRotation="255" wrapText="1"/>
    </xf>
    <xf numFmtId="0" fontId="40" fillId="0" borderId="9" xfId="0" applyNumberFormat="1" applyFont="1" applyFill="1" applyBorder="1" applyAlignment="1">
      <alignment horizontal="center" vertical="center" textRotation="255" wrapText="1"/>
    </xf>
    <xf numFmtId="0" fontId="41" fillId="0" borderId="0" xfId="0" applyFont="1" applyFill="1" applyBorder="1" applyAlignment="1">
      <alignment horizontal="center" vertical="center"/>
    </xf>
    <xf numFmtId="0" fontId="39" fillId="4" borderId="9" xfId="0" applyFont="1" applyFill="1" applyBorder="1" applyAlignment="1">
      <alignment horizontal="center" vertical="center" textRotation="255"/>
    </xf>
    <xf numFmtId="0" fontId="38" fillId="3" borderId="9" xfId="0" applyFont="1" applyFill="1" applyBorder="1" applyAlignment="1">
      <alignment horizontal="center" vertical="center" textRotation="255"/>
    </xf>
  </cellXfs>
  <cellStyles count="7">
    <cellStyle name="常规" xfId="0" builtinId="0"/>
    <cellStyle name="常规 13" xfId="6" xr:uid="{00000000-0005-0000-0000-000036000000}"/>
    <cellStyle name="常规 14" xfId="5" xr:uid="{00000000-0005-0000-0000-000035000000}"/>
    <cellStyle name="常规 14 2 2 6" xfId="1" xr:uid="{00000000-0005-0000-0000-00000C000000}"/>
    <cellStyle name="常规 2" xfId="2" xr:uid="{00000000-0005-0000-0000-000032000000}"/>
    <cellStyle name="常规 5" xfId="3" xr:uid="{00000000-0005-0000-0000-000033000000}"/>
    <cellStyle name="常规 7" xfId="4" xr:uid="{00000000-0005-0000-0000-000034000000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mruColors>
      <color rgb="FF00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Drop" dropStyle="combo" dx="22" sel="0" val="0"/>
</file>

<file path=xl/ctrlProps/ctrlProp2.xml><?xml version="1.0" encoding="utf-8"?>
<formControlPr xmlns="http://schemas.microsoft.com/office/spreadsheetml/2009/9/main" objectType="Drop" dropStyle="combo" dx="22" sel="0" val="0"/>
</file>

<file path=xl/ctrlProps/ctrlProp3.xml><?xml version="1.0" encoding="utf-8"?>
<formControlPr xmlns="http://schemas.microsoft.com/office/spreadsheetml/2009/9/main" objectType="Drop" dropStyle="combo" dx="22" sel="0" val="0"/>
</file>

<file path=xl/ctrlProps/ctrlProp4.xml><?xml version="1.0" encoding="utf-8"?>
<formControlPr xmlns="http://schemas.microsoft.com/office/spreadsheetml/2009/9/main" objectType="Drop" dropStyle="combo" dx="22" sel="0" val="0"/>
</file>

<file path=xl/ctrlProps/ctrlProp5.xml><?xml version="1.0" encoding="utf-8"?>
<formControlPr xmlns="http://schemas.microsoft.com/office/spreadsheetml/2009/9/main" objectType="Drop" dropStyle="combo" dx="22" sel="0" val="0"/>
</file>

<file path=xl/ctrlProps/ctrlProp6.xml><?xml version="1.0" encoding="utf-8"?>
<formControlPr xmlns="http://schemas.microsoft.com/office/spreadsheetml/2009/9/main" objectType="Drop" dropStyle="combo" dx="22" sel="0" val="0"/>
</file>

<file path=xl/ctrlProps/ctrlProp7.xml><?xml version="1.0" encoding="utf-8"?>
<formControlPr xmlns="http://schemas.microsoft.com/office/spreadsheetml/2009/9/main" objectType="Drop" dropStyle="combo" dx="22" sel="0" val="0"/>
</file>

<file path=xl/ctrlProps/ctrlProp8.xml><?xml version="1.0" encoding="utf-8"?>
<formControlPr xmlns="http://schemas.microsoft.com/office/spreadsheetml/2009/9/main" objectType="Drop" dropStyle="combo" dx="22" sel="0" val="0"/>
</file>

<file path=xl/ctrlProps/ctrlProp9.xml><?xml version="1.0" encoding="utf-8"?>
<formControlPr xmlns="http://schemas.microsoft.com/office/spreadsheetml/2009/9/main" objectType="Drop" dropStyle="combo" dx="22" sel="0" val="0"/>
</file>

<file path=xl/ctrlProps/ctrlProp10.xml><?xml version="1.0" encoding="utf-8"?>
<formControlPr xmlns="http://schemas.microsoft.com/office/spreadsheetml/2009/9/main" objectType="Drop" dropStyle="combo" dx="22" sel="0" val="0"/>
</file>

<file path=xl/ctrlProps/ctrlProp11.xml><?xml version="1.0" encoding="utf-8"?>
<formControlPr xmlns="http://schemas.microsoft.com/office/spreadsheetml/2009/9/main" objectType="Drop" dropStyle="combo" dx="22" sel="0" val="0"/>
</file>

<file path=xl/ctrlProps/ctrlProp12.xml><?xml version="1.0" encoding="utf-8"?>
<formControlPr xmlns="http://schemas.microsoft.com/office/spreadsheetml/2009/9/main" objectType="Drop" dropStyle="combo" dx="22" sel="0" val="0"/>
</file>

<file path=xl/ctrlProps/ctrlProp13.xml><?xml version="1.0" encoding="utf-8"?>
<formControlPr xmlns="http://schemas.microsoft.com/office/spreadsheetml/2009/9/main" objectType="Drop" dropStyle="combo" dx="22" sel="0" val="0"/>
</file>

<file path=xl/ctrlProps/ctrlProp14.xml><?xml version="1.0" encoding="utf-8"?>
<formControlPr xmlns="http://schemas.microsoft.com/office/spreadsheetml/2009/9/main" objectType="Drop" dropStyle="combo" dx="22" sel="0" val="0"/>
</file>

<file path=xl/ctrlProps/ctrlProp15.xml><?xml version="1.0" encoding="utf-8"?>
<formControlPr xmlns="http://schemas.microsoft.com/office/spreadsheetml/2009/9/main" objectType="Drop" dropStyle="combo" dx="22" sel="0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</xdr:row>
          <xdr:rowOff>0</xdr:rowOff>
        </xdr:from>
        <xdr:to>
          <xdr:col>5</xdr:col>
          <xdr:colOff>127000</xdr:colOff>
          <xdr:row>2</xdr:row>
          <xdr:rowOff>0</xdr:rowOff>
        </xdr:to>
        <xdr:sp macro="" textlink="">
          <xdr:nvSpPr>
            <xdr:cNvPr id="7171" name="Drop Down 3" hidden="1">
              <a:extLst>
                <a:ext uri="{63B3BB69-23CF-44E3-9099-C40C66FF867C}">
                  <a14:compatExt spid="_x0000_s7171"/>
                </a:ext>
                <a:ext uri="{FF2B5EF4-FFF2-40B4-BE49-F238E27FC236}">
                  <a16:creationId xmlns:a16="http://schemas.microsoft.com/office/drawing/2014/main" id="{00000000-0008-0000-0100-00000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</xdr:row>
          <xdr:rowOff>0</xdr:rowOff>
        </xdr:from>
        <xdr:to>
          <xdr:col>5</xdr:col>
          <xdr:colOff>127000</xdr:colOff>
          <xdr:row>2</xdr:row>
          <xdr:rowOff>0</xdr:rowOff>
        </xdr:to>
        <xdr:sp macro="" textlink="">
          <xdr:nvSpPr>
            <xdr:cNvPr id="7173" name="Drop Down 5" hidden="1">
              <a:extLst>
                <a:ext uri="{63B3BB69-23CF-44E3-9099-C40C66FF867C}">
                  <a14:compatExt spid="_x0000_s7173"/>
                </a:ext>
                <a:ext uri="{FF2B5EF4-FFF2-40B4-BE49-F238E27FC236}">
                  <a16:creationId xmlns:a16="http://schemas.microsoft.com/office/drawing/2014/main" id="{00000000-0008-0000-0100-00000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</xdr:row>
          <xdr:rowOff>0</xdr:rowOff>
        </xdr:from>
        <xdr:to>
          <xdr:col>5</xdr:col>
          <xdr:colOff>127000</xdr:colOff>
          <xdr:row>2</xdr:row>
          <xdr:rowOff>0</xdr:rowOff>
        </xdr:to>
        <xdr:sp macro="" textlink="">
          <xdr:nvSpPr>
            <xdr:cNvPr id="7174" name="Drop Down 6" hidden="1">
              <a:extLst>
                <a:ext uri="{63B3BB69-23CF-44E3-9099-C40C66FF867C}">
                  <a14:compatExt spid="_x0000_s7174"/>
                </a:ext>
                <a:ext uri="{FF2B5EF4-FFF2-40B4-BE49-F238E27FC236}">
                  <a16:creationId xmlns:a16="http://schemas.microsoft.com/office/drawing/2014/main" id="{00000000-0008-0000-0100-00000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</xdr:row>
          <xdr:rowOff>0</xdr:rowOff>
        </xdr:from>
        <xdr:to>
          <xdr:col>5</xdr:col>
          <xdr:colOff>127000</xdr:colOff>
          <xdr:row>2</xdr:row>
          <xdr:rowOff>0</xdr:rowOff>
        </xdr:to>
        <xdr:sp macro="" textlink="">
          <xdr:nvSpPr>
            <xdr:cNvPr id="7175" name="Drop Down 7" hidden="1">
              <a:extLst>
                <a:ext uri="{63B3BB69-23CF-44E3-9099-C40C66FF867C}">
                  <a14:compatExt spid="_x0000_s7175"/>
                </a:ext>
                <a:ext uri="{FF2B5EF4-FFF2-40B4-BE49-F238E27FC236}">
                  <a16:creationId xmlns:a16="http://schemas.microsoft.com/office/drawing/2014/main" id="{00000000-0008-0000-0100-00000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</xdr:row>
          <xdr:rowOff>0</xdr:rowOff>
        </xdr:from>
        <xdr:to>
          <xdr:col>5</xdr:col>
          <xdr:colOff>127000</xdr:colOff>
          <xdr:row>2</xdr:row>
          <xdr:rowOff>0</xdr:rowOff>
        </xdr:to>
        <xdr:sp macro="" textlink="">
          <xdr:nvSpPr>
            <xdr:cNvPr id="7177" name="Drop Down 9" hidden="1">
              <a:extLst>
                <a:ext uri="{63B3BB69-23CF-44E3-9099-C40C66FF867C}">
                  <a14:compatExt spid="_x0000_s7177"/>
                </a:ext>
                <a:ext uri="{FF2B5EF4-FFF2-40B4-BE49-F238E27FC236}">
                  <a16:creationId xmlns:a16="http://schemas.microsoft.com/office/drawing/2014/main" id="{00000000-0008-0000-0100-00000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</xdr:row>
          <xdr:rowOff>0</xdr:rowOff>
        </xdr:from>
        <xdr:to>
          <xdr:col>5</xdr:col>
          <xdr:colOff>127000</xdr:colOff>
          <xdr:row>2</xdr:row>
          <xdr:rowOff>0</xdr:rowOff>
        </xdr:to>
        <xdr:sp macro="" textlink="">
          <xdr:nvSpPr>
            <xdr:cNvPr id="7178" name="Drop Down 10" hidden="1">
              <a:extLst>
                <a:ext uri="{63B3BB69-23CF-44E3-9099-C40C66FF867C}">
                  <a14:compatExt spid="_x0000_s7178"/>
                </a:ext>
                <a:ext uri="{FF2B5EF4-FFF2-40B4-BE49-F238E27FC236}">
                  <a16:creationId xmlns:a16="http://schemas.microsoft.com/office/drawing/2014/main" id="{00000000-0008-0000-0100-00000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</xdr:row>
          <xdr:rowOff>0</xdr:rowOff>
        </xdr:from>
        <xdr:to>
          <xdr:col>5</xdr:col>
          <xdr:colOff>127000</xdr:colOff>
          <xdr:row>2</xdr:row>
          <xdr:rowOff>0</xdr:rowOff>
        </xdr:to>
        <xdr:sp macro="" textlink="">
          <xdr:nvSpPr>
            <xdr:cNvPr id="7179" name="Drop Down 11" hidden="1">
              <a:extLst>
                <a:ext uri="{63B3BB69-23CF-44E3-9099-C40C66FF867C}">
                  <a14:compatExt spid="_x0000_s7179"/>
                </a:ext>
                <a:ext uri="{FF2B5EF4-FFF2-40B4-BE49-F238E27FC236}">
                  <a16:creationId xmlns:a16="http://schemas.microsoft.com/office/drawing/2014/main" id="{00000000-0008-0000-0100-00000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</xdr:row>
          <xdr:rowOff>0</xdr:rowOff>
        </xdr:from>
        <xdr:to>
          <xdr:col>5</xdr:col>
          <xdr:colOff>127000</xdr:colOff>
          <xdr:row>2</xdr:row>
          <xdr:rowOff>0</xdr:rowOff>
        </xdr:to>
        <xdr:sp macro="" textlink="">
          <xdr:nvSpPr>
            <xdr:cNvPr id="7180" name="Drop Down 12" hidden="1">
              <a:extLst>
                <a:ext uri="{63B3BB69-23CF-44E3-9099-C40C66FF867C}">
                  <a14:compatExt spid="_x0000_s7180"/>
                </a:ext>
                <a:ext uri="{FF2B5EF4-FFF2-40B4-BE49-F238E27FC236}">
                  <a16:creationId xmlns:a16="http://schemas.microsoft.com/office/drawing/2014/main" id="{00000000-0008-0000-0100-00000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</xdr:row>
          <xdr:rowOff>0</xdr:rowOff>
        </xdr:from>
        <xdr:to>
          <xdr:col>5</xdr:col>
          <xdr:colOff>127000</xdr:colOff>
          <xdr:row>2</xdr:row>
          <xdr:rowOff>0</xdr:rowOff>
        </xdr:to>
        <xdr:sp macro="" textlink="">
          <xdr:nvSpPr>
            <xdr:cNvPr id="7183" name="Drop Down 15" hidden="1">
              <a:extLst>
                <a:ext uri="{63B3BB69-23CF-44E3-9099-C40C66FF867C}">
                  <a14:compatExt spid="_x0000_s7183"/>
                </a:ext>
                <a:ext uri="{FF2B5EF4-FFF2-40B4-BE49-F238E27FC236}">
                  <a16:creationId xmlns:a16="http://schemas.microsoft.com/office/drawing/2014/main" id="{00000000-0008-0000-0100-00000F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</xdr:row>
          <xdr:rowOff>0</xdr:rowOff>
        </xdr:from>
        <xdr:to>
          <xdr:col>5</xdr:col>
          <xdr:colOff>127000</xdr:colOff>
          <xdr:row>2</xdr:row>
          <xdr:rowOff>0</xdr:rowOff>
        </xdr:to>
        <xdr:sp macro="" textlink="">
          <xdr:nvSpPr>
            <xdr:cNvPr id="7189" name="Drop Down 21" hidden="1">
              <a:extLst>
                <a:ext uri="{63B3BB69-23CF-44E3-9099-C40C66FF867C}">
                  <a14:compatExt spid="_x0000_s7189"/>
                </a:ext>
                <a:ext uri="{FF2B5EF4-FFF2-40B4-BE49-F238E27FC236}">
                  <a16:creationId xmlns:a16="http://schemas.microsoft.com/office/drawing/2014/main" id="{00000000-0008-0000-0100-00001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</xdr:row>
          <xdr:rowOff>0</xdr:rowOff>
        </xdr:from>
        <xdr:to>
          <xdr:col>5</xdr:col>
          <xdr:colOff>127000</xdr:colOff>
          <xdr:row>2</xdr:row>
          <xdr:rowOff>0</xdr:rowOff>
        </xdr:to>
        <xdr:sp macro="" textlink="">
          <xdr:nvSpPr>
            <xdr:cNvPr id="7190" name="Drop Down 22" hidden="1">
              <a:extLst>
                <a:ext uri="{63B3BB69-23CF-44E3-9099-C40C66FF867C}">
                  <a14:compatExt spid="_x0000_s7190"/>
                </a:ext>
                <a:ext uri="{FF2B5EF4-FFF2-40B4-BE49-F238E27FC236}">
                  <a16:creationId xmlns:a16="http://schemas.microsoft.com/office/drawing/2014/main" id="{00000000-0008-0000-0100-00001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</xdr:row>
          <xdr:rowOff>0</xdr:rowOff>
        </xdr:from>
        <xdr:to>
          <xdr:col>5</xdr:col>
          <xdr:colOff>127000</xdr:colOff>
          <xdr:row>2</xdr:row>
          <xdr:rowOff>0</xdr:rowOff>
        </xdr:to>
        <xdr:sp macro="" textlink="">
          <xdr:nvSpPr>
            <xdr:cNvPr id="7191" name="Drop Down 23" hidden="1">
              <a:extLst>
                <a:ext uri="{63B3BB69-23CF-44E3-9099-C40C66FF867C}">
                  <a14:compatExt spid="_x0000_s7191"/>
                </a:ext>
                <a:ext uri="{FF2B5EF4-FFF2-40B4-BE49-F238E27FC236}">
                  <a16:creationId xmlns:a16="http://schemas.microsoft.com/office/drawing/2014/main" id="{00000000-0008-0000-0100-00001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</xdr:row>
          <xdr:rowOff>0</xdr:rowOff>
        </xdr:from>
        <xdr:to>
          <xdr:col>5</xdr:col>
          <xdr:colOff>127000</xdr:colOff>
          <xdr:row>2</xdr:row>
          <xdr:rowOff>0</xdr:rowOff>
        </xdr:to>
        <xdr:sp macro="" textlink="">
          <xdr:nvSpPr>
            <xdr:cNvPr id="7192" name="Drop Down 24" hidden="1">
              <a:extLst>
                <a:ext uri="{63B3BB69-23CF-44E3-9099-C40C66FF867C}">
                  <a14:compatExt spid="_x0000_s7192"/>
                </a:ext>
                <a:ext uri="{FF2B5EF4-FFF2-40B4-BE49-F238E27FC236}">
                  <a16:creationId xmlns:a16="http://schemas.microsoft.com/office/drawing/2014/main" id="{00000000-0008-0000-0100-00001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</xdr:row>
          <xdr:rowOff>0</xdr:rowOff>
        </xdr:from>
        <xdr:to>
          <xdr:col>5</xdr:col>
          <xdr:colOff>127000</xdr:colOff>
          <xdr:row>2</xdr:row>
          <xdr:rowOff>0</xdr:rowOff>
        </xdr:to>
        <xdr:sp macro="" textlink="">
          <xdr:nvSpPr>
            <xdr:cNvPr id="7194" name="Drop Down 26" hidden="1">
              <a:extLst>
                <a:ext uri="{63B3BB69-23CF-44E3-9099-C40C66FF867C}">
                  <a14:compatExt spid="_x0000_s7194"/>
                </a:ext>
                <a:ext uri="{FF2B5EF4-FFF2-40B4-BE49-F238E27FC236}">
                  <a16:creationId xmlns:a16="http://schemas.microsoft.com/office/drawing/2014/main" id="{00000000-0008-0000-0100-00001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</xdr:row>
          <xdr:rowOff>0</xdr:rowOff>
        </xdr:from>
        <xdr:to>
          <xdr:col>5</xdr:col>
          <xdr:colOff>127000</xdr:colOff>
          <xdr:row>2</xdr:row>
          <xdr:rowOff>0</xdr:rowOff>
        </xdr:to>
        <xdr:sp macro="" textlink="">
          <xdr:nvSpPr>
            <xdr:cNvPr id="7206" name="Drop Down 38" hidden="1">
              <a:extLst>
                <a:ext uri="{63B3BB69-23CF-44E3-9099-C40C66FF867C}">
                  <a14:compatExt spid="_x0000_s7206"/>
                </a:ext>
                <a:ext uri="{FF2B5EF4-FFF2-40B4-BE49-F238E27FC236}">
                  <a16:creationId xmlns:a16="http://schemas.microsoft.com/office/drawing/2014/main" id="{00000000-0008-0000-0100-00002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13" Type="http://schemas.openxmlformats.org/officeDocument/2006/relationships/ctrlProp" Target="../ctrlProps/ctrlProp11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" Type="http://schemas.openxmlformats.org/officeDocument/2006/relationships/vmlDrawing" Target="../drawings/vmlDrawing1.vml"/><Relationship Id="rId16" Type="http://schemas.openxmlformats.org/officeDocument/2006/relationships/ctrlProp" Target="../ctrlProps/ctrlProp14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5" Type="http://schemas.openxmlformats.org/officeDocument/2006/relationships/ctrlProp" Target="../ctrlProps/ctrlProp3.xml"/><Relationship Id="rId15" Type="http://schemas.openxmlformats.org/officeDocument/2006/relationships/ctrlProp" Target="../ctrlProps/ctrlProp13.xml"/><Relationship Id="rId10" Type="http://schemas.openxmlformats.org/officeDocument/2006/relationships/ctrlProp" Target="../ctrlProps/ctrlProp8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4" Type="http://schemas.openxmlformats.org/officeDocument/2006/relationships/ctrlProp" Target="../ctrlProps/ctrlProp1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V31"/>
  <sheetViews>
    <sheetView workbookViewId="0">
      <pane xSplit="1" ySplit="2" topLeftCell="B15" activePane="bottomRight" state="frozen"/>
      <selection pane="topRight"/>
      <selection pane="bottomLeft"/>
      <selection pane="bottomRight" activeCell="E18" sqref="E18"/>
    </sheetView>
  </sheetViews>
  <sheetFormatPr defaultColWidth="9" defaultRowHeight="13" x14ac:dyDescent="0.25"/>
  <cols>
    <col min="1" max="1" width="9.59765625" style="109" customWidth="1"/>
    <col min="2" max="19" width="18.796875" style="110" customWidth="1"/>
    <col min="20" max="20" width="10.796875" style="110" customWidth="1"/>
    <col min="21" max="21" width="9.59765625" style="110" customWidth="1"/>
    <col min="22" max="22" width="18.796875" style="110" customWidth="1"/>
    <col min="23" max="16384" width="9" style="110"/>
  </cols>
  <sheetData>
    <row r="1" spans="1:22" ht="45" customHeight="1" x14ac:dyDescent="0.25">
      <c r="A1" s="134" t="s">
        <v>0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</row>
    <row r="2" spans="1:22" s="107" customFormat="1" ht="46.5" customHeight="1" x14ac:dyDescent="0.25">
      <c r="A2" s="120" t="s">
        <v>1</v>
      </c>
      <c r="B2" s="121" t="s">
        <v>2</v>
      </c>
      <c r="C2" s="121" t="s">
        <v>3</v>
      </c>
      <c r="D2" s="121" t="s">
        <v>4</v>
      </c>
      <c r="E2" s="121" t="s">
        <v>5</v>
      </c>
      <c r="F2" s="121" t="s">
        <v>6</v>
      </c>
      <c r="G2" s="121" t="s">
        <v>7</v>
      </c>
      <c r="H2" s="121" t="s">
        <v>8</v>
      </c>
      <c r="I2" s="121" t="s">
        <v>9</v>
      </c>
      <c r="J2" s="121" t="s">
        <v>10</v>
      </c>
      <c r="K2" s="121" t="s">
        <v>11</v>
      </c>
      <c r="L2" s="121" t="s">
        <v>12</v>
      </c>
      <c r="M2" s="121" t="s">
        <v>13</v>
      </c>
      <c r="N2" s="121" t="s">
        <v>14</v>
      </c>
      <c r="O2" s="121" t="s">
        <v>15</v>
      </c>
      <c r="P2" s="121" t="s">
        <v>16</v>
      </c>
      <c r="Q2" s="20" t="s">
        <v>17</v>
      </c>
      <c r="R2" s="121" t="s">
        <v>18</v>
      </c>
      <c r="S2" s="121" t="s">
        <v>19</v>
      </c>
      <c r="T2" s="121" t="s">
        <v>20</v>
      </c>
      <c r="U2" s="20" t="s">
        <v>21</v>
      </c>
      <c r="V2" s="118" t="s">
        <v>22</v>
      </c>
    </row>
    <row r="3" spans="1:22" s="107" customFormat="1" ht="44" customHeight="1" x14ac:dyDescent="0.25">
      <c r="A3" s="111" t="s">
        <v>23</v>
      </c>
      <c r="B3" s="55" t="s">
        <v>24</v>
      </c>
      <c r="C3" s="20" t="s">
        <v>25</v>
      </c>
      <c r="D3" s="112"/>
      <c r="E3" s="20" t="s">
        <v>26</v>
      </c>
      <c r="F3" s="112" t="s">
        <v>27</v>
      </c>
      <c r="G3" s="20" t="s">
        <v>28</v>
      </c>
      <c r="H3" s="112"/>
      <c r="I3" s="20" t="s">
        <v>26</v>
      </c>
      <c r="J3" s="20" t="s">
        <v>25</v>
      </c>
      <c r="K3" s="112" t="s">
        <v>29</v>
      </c>
      <c r="L3" s="112" t="s">
        <v>30</v>
      </c>
      <c r="M3" s="112" t="s">
        <v>26</v>
      </c>
      <c r="N3" s="112" t="s">
        <v>29</v>
      </c>
      <c r="O3" s="55" t="s">
        <v>31</v>
      </c>
      <c r="P3" s="112" t="s">
        <v>32</v>
      </c>
      <c r="Q3" s="112" t="s">
        <v>33</v>
      </c>
      <c r="R3" s="112" t="s">
        <v>34</v>
      </c>
      <c r="S3" s="112"/>
      <c r="T3" s="55"/>
      <c r="U3" s="55"/>
      <c r="V3" s="119" t="s">
        <v>35</v>
      </c>
    </row>
    <row r="4" spans="1:22" s="107" customFormat="1" ht="44" customHeight="1" x14ac:dyDescent="0.25">
      <c r="A4" s="111" t="s">
        <v>36</v>
      </c>
      <c r="B4" s="55" t="s">
        <v>24</v>
      </c>
      <c r="C4" s="112" t="s">
        <v>37</v>
      </c>
      <c r="D4" s="112"/>
      <c r="E4" s="20" t="s">
        <v>26</v>
      </c>
      <c r="F4" s="112" t="s">
        <v>27</v>
      </c>
      <c r="G4" s="112" t="s">
        <v>38</v>
      </c>
      <c r="H4" s="112"/>
      <c r="I4" s="20" t="s">
        <v>26</v>
      </c>
      <c r="J4" s="112" t="s">
        <v>37</v>
      </c>
      <c r="K4" s="20" t="s">
        <v>28</v>
      </c>
      <c r="L4" s="112" t="s">
        <v>30</v>
      </c>
      <c r="M4" s="112" t="s">
        <v>26</v>
      </c>
      <c r="N4" s="112"/>
      <c r="O4" s="20" t="s">
        <v>39</v>
      </c>
      <c r="P4" s="112" t="s">
        <v>32</v>
      </c>
      <c r="Q4" s="112" t="s">
        <v>33</v>
      </c>
      <c r="R4" s="55" t="s">
        <v>31</v>
      </c>
      <c r="S4" s="20" t="s">
        <v>25</v>
      </c>
      <c r="T4" s="112"/>
      <c r="U4" s="112"/>
      <c r="V4" s="119" t="s">
        <v>35</v>
      </c>
    </row>
    <row r="5" spans="1:22" s="107" customFormat="1" ht="44" customHeight="1" x14ac:dyDescent="0.25">
      <c r="A5" s="111" t="s">
        <v>40</v>
      </c>
      <c r="B5" s="20" t="s">
        <v>28</v>
      </c>
      <c r="C5" s="112"/>
      <c r="D5" s="112" t="s">
        <v>29</v>
      </c>
      <c r="E5" s="20" t="s">
        <v>26</v>
      </c>
      <c r="F5" s="20" t="s">
        <v>25</v>
      </c>
      <c r="G5" s="55" t="s">
        <v>24</v>
      </c>
      <c r="H5" s="112"/>
      <c r="I5" s="20" t="s">
        <v>26</v>
      </c>
      <c r="J5" s="112" t="s">
        <v>41</v>
      </c>
      <c r="K5" s="112" t="s">
        <v>41</v>
      </c>
      <c r="L5" s="20" t="s">
        <v>25</v>
      </c>
      <c r="M5" s="112" t="s">
        <v>26</v>
      </c>
      <c r="N5" s="55" t="s">
        <v>42</v>
      </c>
      <c r="O5" s="112" t="s">
        <v>37</v>
      </c>
      <c r="P5" s="112"/>
      <c r="Q5" s="112" t="s">
        <v>33</v>
      </c>
      <c r="R5" s="112" t="s">
        <v>43</v>
      </c>
      <c r="S5" s="112" t="s">
        <v>44</v>
      </c>
      <c r="T5" s="112"/>
      <c r="U5" s="112"/>
      <c r="V5" s="119" t="s">
        <v>45</v>
      </c>
    </row>
    <row r="6" spans="1:22" s="107" customFormat="1" ht="44" customHeight="1" x14ac:dyDescent="0.25">
      <c r="A6" s="111" t="s">
        <v>46</v>
      </c>
      <c r="B6" s="112" t="s">
        <v>38</v>
      </c>
      <c r="C6" s="112"/>
      <c r="D6" s="20" t="s">
        <v>28</v>
      </c>
      <c r="E6" s="20" t="s">
        <v>26</v>
      </c>
      <c r="F6" s="112" t="s">
        <v>37</v>
      </c>
      <c r="G6" s="55" t="s">
        <v>24</v>
      </c>
      <c r="H6" s="112"/>
      <c r="I6" s="20" t="s">
        <v>26</v>
      </c>
      <c r="J6" s="112" t="s">
        <v>41</v>
      </c>
      <c r="K6" s="112" t="s">
        <v>41</v>
      </c>
      <c r="L6" s="112" t="s">
        <v>37</v>
      </c>
      <c r="M6" s="112" t="s">
        <v>26</v>
      </c>
      <c r="N6" s="20" t="s">
        <v>47</v>
      </c>
      <c r="O6" s="112" t="s">
        <v>48</v>
      </c>
      <c r="P6" s="112"/>
      <c r="Q6" s="112" t="s">
        <v>33</v>
      </c>
      <c r="R6" s="20" t="s">
        <v>28</v>
      </c>
      <c r="S6" s="55" t="s">
        <v>42</v>
      </c>
      <c r="T6" s="20"/>
      <c r="U6" s="20"/>
      <c r="V6" s="119" t="s">
        <v>45</v>
      </c>
    </row>
    <row r="7" spans="1:22" s="107" customFormat="1" ht="44" customHeight="1" x14ac:dyDescent="0.25">
      <c r="A7" s="111" t="s">
        <v>49</v>
      </c>
      <c r="B7" s="112" t="s">
        <v>50</v>
      </c>
      <c r="C7" s="112"/>
      <c r="D7" s="112" t="s">
        <v>51</v>
      </c>
      <c r="E7" s="20" t="s">
        <v>52</v>
      </c>
      <c r="F7" s="55" t="s">
        <v>53</v>
      </c>
      <c r="G7" s="112" t="s">
        <v>50</v>
      </c>
      <c r="H7" s="112" t="s">
        <v>54</v>
      </c>
      <c r="I7" s="20" t="s">
        <v>52</v>
      </c>
      <c r="J7" s="55" t="s">
        <v>55</v>
      </c>
      <c r="K7" s="112" t="s">
        <v>54</v>
      </c>
      <c r="L7" s="112" t="s">
        <v>56</v>
      </c>
      <c r="M7" s="20" t="s">
        <v>57</v>
      </c>
      <c r="N7" s="55" t="s">
        <v>58</v>
      </c>
      <c r="O7" s="112" t="s">
        <v>54</v>
      </c>
      <c r="P7" s="112"/>
      <c r="Q7" s="20" t="s">
        <v>59</v>
      </c>
      <c r="R7" s="112" t="s">
        <v>50</v>
      </c>
      <c r="S7" s="112" t="s">
        <v>51</v>
      </c>
      <c r="T7" s="20"/>
      <c r="U7" s="20"/>
      <c r="V7" s="119" t="s">
        <v>60</v>
      </c>
    </row>
    <row r="8" spans="1:22" s="107" customFormat="1" ht="44" customHeight="1" x14ac:dyDescent="0.25">
      <c r="A8" s="111" t="s">
        <v>61</v>
      </c>
      <c r="B8" s="112" t="s">
        <v>62</v>
      </c>
      <c r="C8" s="112" t="s">
        <v>63</v>
      </c>
      <c r="D8" s="112" t="s">
        <v>64</v>
      </c>
      <c r="E8" s="20" t="s">
        <v>52</v>
      </c>
      <c r="F8" s="112" t="s">
        <v>65</v>
      </c>
      <c r="G8" s="112" t="s">
        <v>66</v>
      </c>
      <c r="H8" s="112"/>
      <c r="I8" s="20" t="s">
        <v>52</v>
      </c>
      <c r="J8" s="55" t="s">
        <v>55</v>
      </c>
      <c r="K8" s="55" t="s">
        <v>67</v>
      </c>
      <c r="L8" s="112" t="s">
        <v>68</v>
      </c>
      <c r="M8" s="20" t="s">
        <v>57</v>
      </c>
      <c r="N8" s="55" t="s">
        <v>58</v>
      </c>
      <c r="O8" s="112" t="s">
        <v>69</v>
      </c>
      <c r="P8" s="112" t="s">
        <v>70</v>
      </c>
      <c r="Q8" s="20" t="s">
        <v>59</v>
      </c>
      <c r="R8" s="112"/>
      <c r="S8" s="112" t="s">
        <v>71</v>
      </c>
      <c r="T8" s="112"/>
      <c r="U8" s="112"/>
      <c r="V8" s="119" t="s">
        <v>60</v>
      </c>
    </row>
    <row r="9" spans="1:22" s="107" customFormat="1" ht="44" customHeight="1" x14ac:dyDescent="0.25">
      <c r="A9" s="113" t="s">
        <v>72</v>
      </c>
      <c r="B9" s="55" t="s">
        <v>73</v>
      </c>
      <c r="C9" s="55" t="s">
        <v>74</v>
      </c>
      <c r="D9" s="55" t="s">
        <v>75</v>
      </c>
      <c r="E9" s="112" t="s">
        <v>76</v>
      </c>
      <c r="F9" s="55" t="s">
        <v>77</v>
      </c>
      <c r="G9" s="55" t="s">
        <v>78</v>
      </c>
      <c r="H9" s="55" t="s">
        <v>79</v>
      </c>
      <c r="I9" s="112" t="s">
        <v>80</v>
      </c>
      <c r="J9" s="55" t="s">
        <v>81</v>
      </c>
      <c r="K9" s="55" t="s">
        <v>82</v>
      </c>
      <c r="L9" s="55" t="s">
        <v>83</v>
      </c>
      <c r="M9" s="112" t="s">
        <v>84</v>
      </c>
      <c r="N9" s="55" t="s">
        <v>85</v>
      </c>
      <c r="O9" s="55" t="s">
        <v>78</v>
      </c>
      <c r="P9" s="20" t="s">
        <v>86</v>
      </c>
      <c r="Q9" s="112" t="s">
        <v>87</v>
      </c>
      <c r="R9" s="20"/>
      <c r="S9" s="20" t="s">
        <v>88</v>
      </c>
      <c r="T9" s="55"/>
      <c r="U9" s="112"/>
      <c r="V9" s="119" t="s">
        <v>89</v>
      </c>
    </row>
    <row r="10" spans="1:22" s="107" customFormat="1" ht="44" customHeight="1" x14ac:dyDescent="0.25">
      <c r="A10" s="113" t="s">
        <v>90</v>
      </c>
      <c r="B10" s="20" t="s">
        <v>91</v>
      </c>
      <c r="C10" s="55" t="s">
        <v>92</v>
      </c>
      <c r="D10" s="55" t="s">
        <v>93</v>
      </c>
      <c r="E10" s="112" t="s">
        <v>94</v>
      </c>
      <c r="F10" s="20" t="s">
        <v>95</v>
      </c>
      <c r="G10" s="55" t="s">
        <v>77</v>
      </c>
      <c r="H10" s="55" t="s">
        <v>79</v>
      </c>
      <c r="I10" s="112" t="s">
        <v>80</v>
      </c>
      <c r="J10" s="20" t="s">
        <v>96</v>
      </c>
      <c r="K10" s="20" t="s">
        <v>97</v>
      </c>
      <c r="L10" s="55" t="s">
        <v>98</v>
      </c>
      <c r="M10" s="112" t="s">
        <v>84</v>
      </c>
      <c r="N10" s="20"/>
      <c r="O10" s="55" t="s">
        <v>99</v>
      </c>
      <c r="P10" s="55" t="s">
        <v>100</v>
      </c>
      <c r="Q10" s="112" t="s">
        <v>101</v>
      </c>
      <c r="R10" s="20" t="s">
        <v>86</v>
      </c>
      <c r="S10" s="55" t="s">
        <v>98</v>
      </c>
      <c r="T10" s="55"/>
      <c r="U10" s="112"/>
      <c r="V10" s="119" t="s">
        <v>102</v>
      </c>
    </row>
    <row r="11" spans="1:22" s="107" customFormat="1" ht="44" customHeight="1" x14ac:dyDescent="0.25">
      <c r="A11" s="113" t="s">
        <v>103</v>
      </c>
      <c r="B11" s="55" t="s">
        <v>104</v>
      </c>
      <c r="C11" s="20" t="s">
        <v>91</v>
      </c>
      <c r="D11" s="55" t="s">
        <v>105</v>
      </c>
      <c r="E11" s="55" t="s">
        <v>106</v>
      </c>
      <c r="F11" s="55" t="s">
        <v>107</v>
      </c>
      <c r="G11" s="20" t="s">
        <v>108</v>
      </c>
      <c r="H11" s="55" t="s">
        <v>79</v>
      </c>
      <c r="I11" s="55" t="s">
        <v>109</v>
      </c>
      <c r="J11" s="55"/>
      <c r="K11" s="20"/>
      <c r="L11" s="55" t="s">
        <v>110</v>
      </c>
      <c r="M11" s="112" t="s">
        <v>111</v>
      </c>
      <c r="N11" s="55"/>
      <c r="O11" s="20" t="s">
        <v>108</v>
      </c>
      <c r="P11" s="20"/>
      <c r="Q11" s="55" t="s">
        <v>112</v>
      </c>
      <c r="R11" s="55" t="s">
        <v>104</v>
      </c>
      <c r="S11" s="55" t="s">
        <v>113</v>
      </c>
      <c r="T11" s="55"/>
      <c r="U11" s="112"/>
      <c r="V11" s="119" t="s">
        <v>114</v>
      </c>
    </row>
    <row r="12" spans="1:22" s="107" customFormat="1" ht="44" customHeight="1" x14ac:dyDescent="0.25">
      <c r="A12" s="113" t="s">
        <v>115</v>
      </c>
      <c r="B12" s="20" t="s">
        <v>116</v>
      </c>
      <c r="C12" s="55" t="s">
        <v>117</v>
      </c>
      <c r="D12" s="55" t="s">
        <v>118</v>
      </c>
      <c r="E12" s="112" t="s">
        <v>119</v>
      </c>
      <c r="F12" s="55" t="s">
        <v>120</v>
      </c>
      <c r="G12" s="20" t="s">
        <v>121</v>
      </c>
      <c r="H12" s="55" t="s">
        <v>79</v>
      </c>
      <c r="I12" s="112" t="s">
        <v>122</v>
      </c>
      <c r="J12" s="55" t="s">
        <v>100</v>
      </c>
      <c r="K12" s="55" t="s">
        <v>123</v>
      </c>
      <c r="L12" s="20" t="s">
        <v>116</v>
      </c>
      <c r="M12" s="55" t="s">
        <v>112</v>
      </c>
      <c r="N12" s="55" t="s">
        <v>118</v>
      </c>
      <c r="O12" s="55"/>
      <c r="P12" s="55"/>
      <c r="Q12" s="112" t="s">
        <v>124</v>
      </c>
      <c r="R12" s="55" t="s">
        <v>77</v>
      </c>
      <c r="S12" s="55" t="s">
        <v>125</v>
      </c>
      <c r="T12" s="55"/>
      <c r="U12" s="112"/>
      <c r="V12" s="119" t="s">
        <v>126</v>
      </c>
    </row>
    <row r="13" spans="1:22" s="107" customFormat="1" ht="44" customHeight="1" x14ac:dyDescent="0.25">
      <c r="A13" s="113" t="s">
        <v>127</v>
      </c>
      <c r="B13" s="55" t="s">
        <v>128</v>
      </c>
      <c r="C13" s="55" t="s">
        <v>129</v>
      </c>
      <c r="D13" s="55" t="s">
        <v>130</v>
      </c>
      <c r="E13" s="55" t="s">
        <v>131</v>
      </c>
      <c r="F13" s="55" t="s">
        <v>132</v>
      </c>
      <c r="G13" s="55" t="s">
        <v>79</v>
      </c>
      <c r="H13" s="55"/>
      <c r="I13" s="20" t="s">
        <v>133</v>
      </c>
      <c r="J13" s="55" t="s">
        <v>123</v>
      </c>
      <c r="K13" s="55" t="s">
        <v>134</v>
      </c>
      <c r="L13" s="55" t="s">
        <v>135</v>
      </c>
      <c r="M13" s="20" t="s">
        <v>136</v>
      </c>
      <c r="N13" s="55" t="s">
        <v>137</v>
      </c>
      <c r="O13" s="55" t="s">
        <v>138</v>
      </c>
      <c r="P13" s="55" t="s">
        <v>139</v>
      </c>
      <c r="Q13" s="20" t="s">
        <v>140</v>
      </c>
      <c r="R13" s="55"/>
      <c r="S13" s="55" t="s">
        <v>141</v>
      </c>
      <c r="T13" s="20"/>
      <c r="U13" s="112"/>
      <c r="V13" s="119" t="s">
        <v>142</v>
      </c>
    </row>
    <row r="14" spans="1:22" s="107" customFormat="1" ht="44" customHeight="1" x14ac:dyDescent="0.25">
      <c r="A14" s="113" t="s">
        <v>143</v>
      </c>
      <c r="B14" s="55" t="s">
        <v>144</v>
      </c>
      <c r="C14" s="55"/>
      <c r="D14" s="55" t="s">
        <v>145</v>
      </c>
      <c r="E14" s="20" t="s">
        <v>146</v>
      </c>
      <c r="F14" s="55" t="s">
        <v>147</v>
      </c>
      <c r="G14" s="55" t="s">
        <v>79</v>
      </c>
      <c r="H14" s="55" t="s">
        <v>131</v>
      </c>
      <c r="I14" s="20" t="s">
        <v>148</v>
      </c>
      <c r="J14" s="55" t="s">
        <v>149</v>
      </c>
      <c r="K14" s="55" t="s">
        <v>147</v>
      </c>
      <c r="L14" s="55" t="s">
        <v>150</v>
      </c>
      <c r="M14" s="20" t="s">
        <v>151</v>
      </c>
      <c r="N14" s="55" t="s">
        <v>152</v>
      </c>
      <c r="O14" s="55"/>
      <c r="P14" s="55" t="s">
        <v>123</v>
      </c>
      <c r="Q14" s="55" t="s">
        <v>153</v>
      </c>
      <c r="R14" s="55" t="s">
        <v>139</v>
      </c>
      <c r="S14" s="55" t="s">
        <v>154</v>
      </c>
      <c r="T14" s="55"/>
      <c r="U14" s="112"/>
      <c r="V14" s="119" t="s">
        <v>155</v>
      </c>
    </row>
    <row r="15" spans="1:22" s="107" customFormat="1" ht="44" customHeight="1" x14ac:dyDescent="0.25">
      <c r="A15" s="113" t="s">
        <v>156</v>
      </c>
      <c r="B15" s="55"/>
      <c r="C15" s="20" t="s">
        <v>157</v>
      </c>
      <c r="D15" s="20" t="s">
        <v>158</v>
      </c>
      <c r="E15" s="20" t="s">
        <v>159</v>
      </c>
      <c r="F15" s="55"/>
      <c r="G15" s="55" t="s">
        <v>79</v>
      </c>
      <c r="H15" s="55" t="s">
        <v>160</v>
      </c>
      <c r="I15" s="55" t="s">
        <v>161</v>
      </c>
      <c r="J15" s="55" t="s">
        <v>162</v>
      </c>
      <c r="K15" s="55"/>
      <c r="L15" s="55"/>
      <c r="M15" s="55" t="s">
        <v>153</v>
      </c>
      <c r="N15" s="55" t="s">
        <v>149</v>
      </c>
      <c r="O15" s="55" t="s">
        <v>163</v>
      </c>
      <c r="P15" s="55" t="s">
        <v>147</v>
      </c>
      <c r="Q15" s="55" t="s">
        <v>164</v>
      </c>
      <c r="R15" s="55" t="s">
        <v>165</v>
      </c>
      <c r="S15" s="55" t="s">
        <v>139</v>
      </c>
      <c r="T15" s="20"/>
      <c r="U15" s="112"/>
      <c r="V15" s="119" t="s">
        <v>166</v>
      </c>
    </row>
    <row r="16" spans="1:22" s="107" customFormat="1" ht="44" customHeight="1" x14ac:dyDescent="0.25">
      <c r="A16" s="113" t="s">
        <v>167</v>
      </c>
      <c r="B16" s="55"/>
      <c r="C16" s="112" t="s">
        <v>168</v>
      </c>
      <c r="D16" s="112" t="s">
        <v>169</v>
      </c>
      <c r="E16" s="112" t="s">
        <v>170</v>
      </c>
      <c r="F16" s="112" t="s">
        <v>168</v>
      </c>
      <c r="G16" s="55" t="s">
        <v>79</v>
      </c>
      <c r="H16" s="55" t="s">
        <v>171</v>
      </c>
      <c r="I16" s="112" t="s">
        <v>172</v>
      </c>
      <c r="J16" s="112" t="s">
        <v>168</v>
      </c>
      <c r="K16" s="112"/>
      <c r="L16" s="55"/>
      <c r="M16" s="55" t="s">
        <v>173</v>
      </c>
      <c r="N16" s="55" t="s">
        <v>174</v>
      </c>
      <c r="O16" s="55" t="s">
        <v>174</v>
      </c>
      <c r="P16" s="112" t="s">
        <v>169</v>
      </c>
      <c r="Q16" s="55" t="s">
        <v>175</v>
      </c>
      <c r="R16" s="55" t="s">
        <v>176</v>
      </c>
      <c r="S16" s="112" t="s">
        <v>169</v>
      </c>
      <c r="T16" s="55"/>
      <c r="U16" s="112"/>
      <c r="V16" s="119" t="s">
        <v>177</v>
      </c>
    </row>
    <row r="17" spans="1:22" s="107" customFormat="1" ht="44" customHeight="1" x14ac:dyDescent="0.25">
      <c r="A17" s="114" t="s">
        <v>178</v>
      </c>
      <c r="B17" s="55" t="s">
        <v>179</v>
      </c>
      <c r="C17" s="112" t="s">
        <v>180</v>
      </c>
      <c r="D17" s="55" t="s">
        <v>181</v>
      </c>
      <c r="E17" s="112" t="s">
        <v>182</v>
      </c>
      <c r="F17" s="112" t="s">
        <v>180</v>
      </c>
      <c r="G17" s="55" t="s">
        <v>183</v>
      </c>
      <c r="H17" s="55" t="s">
        <v>184</v>
      </c>
      <c r="I17" s="112" t="s">
        <v>185</v>
      </c>
      <c r="J17" s="20" t="s">
        <v>186</v>
      </c>
      <c r="K17" s="20" t="s">
        <v>187</v>
      </c>
      <c r="L17" s="20" t="s">
        <v>188</v>
      </c>
      <c r="M17" s="112" t="s">
        <v>189</v>
      </c>
      <c r="N17" s="55" t="s">
        <v>181</v>
      </c>
      <c r="O17" s="20" t="s">
        <v>190</v>
      </c>
      <c r="P17" s="55" t="s">
        <v>191</v>
      </c>
      <c r="Q17" s="112" t="s">
        <v>192</v>
      </c>
      <c r="R17" s="55" t="s">
        <v>193</v>
      </c>
      <c r="S17" s="55" t="s">
        <v>194</v>
      </c>
      <c r="T17" s="55"/>
      <c r="U17" s="112"/>
      <c r="V17" s="119" t="s">
        <v>195</v>
      </c>
    </row>
    <row r="18" spans="1:22" s="107" customFormat="1" ht="44" customHeight="1" x14ac:dyDescent="0.25">
      <c r="A18" s="114" t="s">
        <v>196</v>
      </c>
      <c r="B18" s="55" t="s">
        <v>179</v>
      </c>
      <c r="C18" s="55" t="s">
        <v>197</v>
      </c>
      <c r="D18" s="112" t="s">
        <v>198</v>
      </c>
      <c r="E18" s="112" t="s">
        <v>199</v>
      </c>
      <c r="F18" s="55" t="s">
        <v>200</v>
      </c>
      <c r="G18" s="55" t="s">
        <v>183</v>
      </c>
      <c r="H18" s="112" t="s">
        <v>198</v>
      </c>
      <c r="I18" s="112" t="s">
        <v>201</v>
      </c>
      <c r="J18" s="20" t="s">
        <v>188</v>
      </c>
      <c r="K18" s="20" t="s">
        <v>202</v>
      </c>
      <c r="L18" s="20" t="s">
        <v>187</v>
      </c>
      <c r="M18" s="112" t="s">
        <v>203</v>
      </c>
      <c r="N18" s="20" t="s">
        <v>204</v>
      </c>
      <c r="O18" s="55" t="s">
        <v>205</v>
      </c>
      <c r="P18" s="55" t="s">
        <v>191</v>
      </c>
      <c r="Q18" s="112" t="s">
        <v>192</v>
      </c>
      <c r="R18" s="55" t="s">
        <v>200</v>
      </c>
      <c r="S18" s="55" t="s">
        <v>194</v>
      </c>
      <c r="T18" s="55"/>
      <c r="U18" s="112"/>
      <c r="V18" s="119" t="s">
        <v>206</v>
      </c>
    </row>
    <row r="19" spans="1:22" s="107" customFormat="1" ht="44" customHeight="1" x14ac:dyDescent="0.25">
      <c r="A19" s="114" t="s">
        <v>207</v>
      </c>
      <c r="B19" s="55" t="s">
        <v>208</v>
      </c>
      <c r="C19" s="55" t="s">
        <v>209</v>
      </c>
      <c r="D19" s="112" t="s">
        <v>210</v>
      </c>
      <c r="E19" s="112" t="s">
        <v>211</v>
      </c>
      <c r="F19" s="55" t="s">
        <v>212</v>
      </c>
      <c r="G19" s="112" t="s">
        <v>213</v>
      </c>
      <c r="H19" s="55" t="s">
        <v>214</v>
      </c>
      <c r="I19" s="112" t="s">
        <v>215</v>
      </c>
      <c r="J19" s="20" t="s">
        <v>187</v>
      </c>
      <c r="K19" s="20" t="s">
        <v>188</v>
      </c>
      <c r="L19" s="20" t="s">
        <v>216</v>
      </c>
      <c r="M19" s="112" t="s">
        <v>217</v>
      </c>
      <c r="N19" s="55" t="s">
        <v>209</v>
      </c>
      <c r="O19" s="55" t="s">
        <v>218</v>
      </c>
      <c r="P19" s="112" t="s">
        <v>213</v>
      </c>
      <c r="Q19" s="112" t="s">
        <v>203</v>
      </c>
      <c r="R19" s="55" t="s">
        <v>179</v>
      </c>
      <c r="S19" s="112" t="s">
        <v>219</v>
      </c>
      <c r="T19" s="55"/>
      <c r="U19" s="112"/>
      <c r="V19" s="119" t="s">
        <v>220</v>
      </c>
    </row>
    <row r="20" spans="1:22" s="107" customFormat="1" ht="44" customHeight="1" x14ac:dyDescent="0.25">
      <c r="A20" s="114" t="s">
        <v>221</v>
      </c>
      <c r="B20" s="55" t="s">
        <v>222</v>
      </c>
      <c r="C20" s="55" t="s">
        <v>208</v>
      </c>
      <c r="D20" s="55" t="s">
        <v>223</v>
      </c>
      <c r="E20" s="112" t="s">
        <v>224</v>
      </c>
      <c r="F20" s="55" t="s">
        <v>225</v>
      </c>
      <c r="G20" s="55" t="s">
        <v>226</v>
      </c>
      <c r="H20" s="55"/>
      <c r="I20" s="112" t="s">
        <v>227</v>
      </c>
      <c r="J20" s="55" t="s">
        <v>228</v>
      </c>
      <c r="K20" s="112" t="s">
        <v>229</v>
      </c>
      <c r="L20" s="55" t="s">
        <v>223</v>
      </c>
      <c r="M20" s="112" t="s">
        <v>230</v>
      </c>
      <c r="N20" s="55" t="s">
        <v>231</v>
      </c>
      <c r="O20" s="112" t="s">
        <v>232</v>
      </c>
      <c r="P20" s="112" t="s">
        <v>233</v>
      </c>
      <c r="Q20" s="112" t="s">
        <v>234</v>
      </c>
      <c r="R20" s="55" t="s">
        <v>214</v>
      </c>
      <c r="S20" s="112" t="s">
        <v>232</v>
      </c>
      <c r="T20" s="55"/>
      <c r="U20" s="112"/>
      <c r="V20" s="119" t="s">
        <v>235</v>
      </c>
    </row>
    <row r="21" spans="1:22" s="107" customFormat="1" ht="44" customHeight="1" x14ac:dyDescent="0.25">
      <c r="A21" s="114" t="s">
        <v>236</v>
      </c>
      <c r="B21" s="55" t="s">
        <v>222</v>
      </c>
      <c r="C21" s="55" t="s">
        <v>208</v>
      </c>
      <c r="D21" s="112" t="s">
        <v>237</v>
      </c>
      <c r="E21" s="112" t="s">
        <v>238</v>
      </c>
      <c r="F21" s="55" t="s">
        <v>225</v>
      </c>
      <c r="G21" s="55" t="s">
        <v>226</v>
      </c>
      <c r="H21" s="55"/>
      <c r="I21" s="112" t="s">
        <v>227</v>
      </c>
      <c r="J21" s="112" t="s">
        <v>239</v>
      </c>
      <c r="K21" s="55" t="s">
        <v>240</v>
      </c>
      <c r="L21" s="55" t="s">
        <v>241</v>
      </c>
      <c r="M21" s="112" t="s">
        <v>242</v>
      </c>
      <c r="N21" s="112" t="s">
        <v>243</v>
      </c>
      <c r="O21" s="55" t="s">
        <v>244</v>
      </c>
      <c r="P21" s="112" t="s">
        <v>245</v>
      </c>
      <c r="Q21" s="112" t="s">
        <v>246</v>
      </c>
      <c r="R21" s="55" t="s">
        <v>247</v>
      </c>
      <c r="S21" s="55" t="s">
        <v>214</v>
      </c>
      <c r="T21" s="55"/>
      <c r="U21" s="112"/>
      <c r="V21" s="119" t="s">
        <v>248</v>
      </c>
    </row>
    <row r="22" spans="1:22" s="107" customFormat="1" ht="44" customHeight="1" x14ac:dyDescent="0.25">
      <c r="A22" s="114" t="s">
        <v>249</v>
      </c>
      <c r="B22" s="55" t="s">
        <v>250</v>
      </c>
      <c r="C22" s="55" t="s">
        <v>251</v>
      </c>
      <c r="D22" s="55" t="s">
        <v>252</v>
      </c>
      <c r="E22" s="112" t="s">
        <v>253</v>
      </c>
      <c r="F22" s="112" t="s">
        <v>254</v>
      </c>
      <c r="G22" s="55" t="s">
        <v>250</v>
      </c>
      <c r="H22" s="55" t="s">
        <v>255</v>
      </c>
      <c r="I22" s="112" t="s">
        <v>256</v>
      </c>
      <c r="J22" s="55" t="s">
        <v>257</v>
      </c>
      <c r="K22" s="112" t="s">
        <v>258</v>
      </c>
      <c r="L22" s="55" t="s">
        <v>179</v>
      </c>
      <c r="M22" s="112" t="s">
        <v>259</v>
      </c>
      <c r="N22" s="20" t="s">
        <v>190</v>
      </c>
      <c r="O22" s="55"/>
      <c r="P22" s="55" t="s">
        <v>260</v>
      </c>
      <c r="Q22" s="112" t="s">
        <v>261</v>
      </c>
      <c r="R22" s="55" t="s">
        <v>194</v>
      </c>
      <c r="S22" s="55" t="s">
        <v>262</v>
      </c>
      <c r="T22" s="55"/>
      <c r="U22" s="112"/>
      <c r="V22" s="119" t="s">
        <v>263</v>
      </c>
    </row>
    <row r="23" spans="1:22" s="107" customFormat="1" ht="44" customHeight="1" x14ac:dyDescent="0.25">
      <c r="A23" s="114" t="s">
        <v>264</v>
      </c>
      <c r="B23" s="112" t="s">
        <v>265</v>
      </c>
      <c r="C23" s="55" t="s">
        <v>266</v>
      </c>
      <c r="D23" s="55" t="s">
        <v>252</v>
      </c>
      <c r="E23" s="112" t="s">
        <v>267</v>
      </c>
      <c r="F23" s="55" t="s">
        <v>268</v>
      </c>
      <c r="G23" s="55" t="s">
        <v>268</v>
      </c>
      <c r="H23" s="55"/>
      <c r="I23" s="112" t="s">
        <v>256</v>
      </c>
      <c r="J23" s="55" t="s">
        <v>257</v>
      </c>
      <c r="K23" s="55" t="s">
        <v>269</v>
      </c>
      <c r="L23" s="55" t="s">
        <v>179</v>
      </c>
      <c r="M23" s="112" t="s">
        <v>270</v>
      </c>
      <c r="N23" s="112" t="s">
        <v>271</v>
      </c>
      <c r="O23" s="55" t="s">
        <v>255</v>
      </c>
      <c r="P23" s="20" t="s">
        <v>190</v>
      </c>
      <c r="Q23" s="112" t="s">
        <v>272</v>
      </c>
      <c r="R23" s="55" t="s">
        <v>194</v>
      </c>
      <c r="S23" s="55" t="s">
        <v>250</v>
      </c>
      <c r="T23" s="55"/>
      <c r="U23" s="112"/>
      <c r="V23" s="119" t="s">
        <v>273</v>
      </c>
    </row>
    <row r="24" spans="1:22" s="107" customFormat="1" ht="44" customHeight="1" x14ac:dyDescent="0.25">
      <c r="A24" s="114" t="s">
        <v>274</v>
      </c>
      <c r="B24" s="112" t="s">
        <v>275</v>
      </c>
      <c r="C24" s="55" t="s">
        <v>223</v>
      </c>
      <c r="D24" s="55" t="s">
        <v>276</v>
      </c>
      <c r="E24" s="55" t="s">
        <v>246</v>
      </c>
      <c r="F24" s="112" t="s">
        <v>243</v>
      </c>
      <c r="G24" s="112" t="s">
        <v>277</v>
      </c>
      <c r="H24" s="55"/>
      <c r="I24" s="55" t="s">
        <v>278</v>
      </c>
      <c r="J24" s="55" t="s">
        <v>208</v>
      </c>
      <c r="K24" s="20" t="s">
        <v>279</v>
      </c>
      <c r="L24" s="112" t="s">
        <v>245</v>
      </c>
      <c r="M24" s="112" t="s">
        <v>280</v>
      </c>
      <c r="N24" s="20" t="s">
        <v>281</v>
      </c>
      <c r="O24" s="55" t="s">
        <v>218</v>
      </c>
      <c r="P24" s="55" t="s">
        <v>214</v>
      </c>
      <c r="Q24" s="55" t="s">
        <v>282</v>
      </c>
      <c r="R24" s="55" t="s">
        <v>179</v>
      </c>
      <c r="S24" s="55" t="s">
        <v>283</v>
      </c>
      <c r="T24" s="55"/>
      <c r="U24" s="112"/>
      <c r="V24" s="119" t="s">
        <v>284</v>
      </c>
    </row>
    <row r="25" spans="1:22" s="107" customFormat="1" ht="44" customHeight="1" x14ac:dyDescent="0.25">
      <c r="A25" s="114" t="s">
        <v>285</v>
      </c>
      <c r="B25" s="55" t="s">
        <v>208</v>
      </c>
      <c r="C25" s="55" t="s">
        <v>286</v>
      </c>
      <c r="D25" s="55" t="s">
        <v>287</v>
      </c>
      <c r="E25" s="112" t="s">
        <v>288</v>
      </c>
      <c r="F25" s="55" t="s">
        <v>212</v>
      </c>
      <c r="G25" s="55" t="s">
        <v>289</v>
      </c>
      <c r="H25" s="55"/>
      <c r="I25" s="112" t="s">
        <v>290</v>
      </c>
      <c r="J25" s="55" t="s">
        <v>286</v>
      </c>
      <c r="K25" s="55" t="s">
        <v>291</v>
      </c>
      <c r="L25" s="55" t="s">
        <v>214</v>
      </c>
      <c r="M25" s="112" t="s">
        <v>292</v>
      </c>
      <c r="N25" s="55" t="s">
        <v>293</v>
      </c>
      <c r="O25" s="55" t="s">
        <v>294</v>
      </c>
      <c r="P25" s="55" t="s">
        <v>286</v>
      </c>
      <c r="Q25" s="112" t="s">
        <v>288</v>
      </c>
      <c r="R25" s="55" t="s">
        <v>293</v>
      </c>
      <c r="S25" s="55" t="s">
        <v>289</v>
      </c>
      <c r="T25" s="55"/>
      <c r="U25" s="112"/>
      <c r="V25" s="119" t="s">
        <v>295</v>
      </c>
    </row>
    <row r="26" spans="1:22" s="107" customFormat="1" ht="44" customHeight="1" x14ac:dyDescent="0.25">
      <c r="A26" s="114" t="s">
        <v>296</v>
      </c>
      <c r="B26" s="55" t="s">
        <v>297</v>
      </c>
      <c r="C26" s="55" t="s">
        <v>214</v>
      </c>
      <c r="D26" s="112" t="s">
        <v>298</v>
      </c>
      <c r="E26" s="112" t="s">
        <v>299</v>
      </c>
      <c r="F26" s="55" t="s">
        <v>297</v>
      </c>
      <c r="G26" s="112" t="s">
        <v>300</v>
      </c>
      <c r="H26" s="115"/>
      <c r="I26" s="112" t="s">
        <v>301</v>
      </c>
      <c r="J26" s="55" t="s">
        <v>302</v>
      </c>
      <c r="K26" s="55" t="s">
        <v>257</v>
      </c>
      <c r="L26" s="55" t="s">
        <v>303</v>
      </c>
      <c r="M26" s="112" t="s">
        <v>304</v>
      </c>
      <c r="N26" s="55" t="s">
        <v>222</v>
      </c>
      <c r="O26" s="55" t="s">
        <v>194</v>
      </c>
      <c r="P26" s="55" t="s">
        <v>305</v>
      </c>
      <c r="Q26" s="112" t="s">
        <v>306</v>
      </c>
      <c r="R26" s="55" t="s">
        <v>307</v>
      </c>
      <c r="S26" s="55" t="s">
        <v>222</v>
      </c>
      <c r="T26" s="55"/>
      <c r="U26" s="112"/>
      <c r="V26" s="119" t="s">
        <v>308</v>
      </c>
    </row>
    <row r="27" spans="1:22" s="107" customFormat="1" ht="44" customHeight="1" x14ac:dyDescent="0.25">
      <c r="A27" s="114" t="s">
        <v>309</v>
      </c>
      <c r="B27" s="112" t="s">
        <v>310</v>
      </c>
      <c r="C27" s="112" t="s">
        <v>311</v>
      </c>
      <c r="D27" s="55" t="s">
        <v>214</v>
      </c>
      <c r="E27" s="112" t="s">
        <v>312</v>
      </c>
      <c r="F27" s="112" t="s">
        <v>313</v>
      </c>
      <c r="G27" s="55" t="s">
        <v>314</v>
      </c>
      <c r="H27" s="55"/>
      <c r="I27" s="112" t="s">
        <v>315</v>
      </c>
      <c r="J27" s="55" t="s">
        <v>307</v>
      </c>
      <c r="K27" s="55" t="s">
        <v>257</v>
      </c>
      <c r="L27" s="55" t="s">
        <v>307</v>
      </c>
      <c r="M27" s="112" t="s">
        <v>316</v>
      </c>
      <c r="N27" s="55" t="s">
        <v>222</v>
      </c>
      <c r="O27" s="55" t="s">
        <v>194</v>
      </c>
      <c r="P27" s="55" t="s">
        <v>314</v>
      </c>
      <c r="Q27" s="112" t="s">
        <v>317</v>
      </c>
      <c r="R27" s="112" t="s">
        <v>318</v>
      </c>
      <c r="S27" s="55" t="s">
        <v>222</v>
      </c>
      <c r="T27" s="55"/>
      <c r="U27" s="112"/>
      <c r="V27" s="119" t="s">
        <v>319</v>
      </c>
    </row>
    <row r="28" spans="1:22" s="107" customFormat="1" ht="44" customHeight="1" x14ac:dyDescent="0.25">
      <c r="A28" s="114" t="s">
        <v>320</v>
      </c>
      <c r="B28" s="55" t="s">
        <v>321</v>
      </c>
      <c r="C28" s="55" t="s">
        <v>322</v>
      </c>
      <c r="D28" s="55" t="s">
        <v>322</v>
      </c>
      <c r="E28" s="112" t="s">
        <v>323</v>
      </c>
      <c r="F28" s="55" t="s">
        <v>321</v>
      </c>
      <c r="G28" s="55" t="s">
        <v>222</v>
      </c>
      <c r="H28" s="55"/>
      <c r="I28" s="112" t="s">
        <v>324</v>
      </c>
      <c r="J28" s="55" t="s">
        <v>325</v>
      </c>
      <c r="K28" s="55" t="s">
        <v>325</v>
      </c>
      <c r="L28" s="55" t="s">
        <v>326</v>
      </c>
      <c r="M28" s="112" t="s">
        <v>327</v>
      </c>
      <c r="N28" s="55" t="s">
        <v>328</v>
      </c>
      <c r="O28" s="20" t="s">
        <v>204</v>
      </c>
      <c r="P28" s="55" t="s">
        <v>328</v>
      </c>
      <c r="Q28" s="112" t="s">
        <v>329</v>
      </c>
      <c r="R28" s="55" t="s">
        <v>222</v>
      </c>
      <c r="S28" s="55" t="s">
        <v>326</v>
      </c>
      <c r="T28" s="55"/>
      <c r="U28" s="112"/>
      <c r="V28" s="119" t="s">
        <v>330</v>
      </c>
    </row>
    <row r="29" spans="1:22" s="107" customFormat="1" ht="44" customHeight="1" x14ac:dyDescent="0.25">
      <c r="A29" s="114" t="s">
        <v>331</v>
      </c>
      <c r="B29" s="55" t="s">
        <v>332</v>
      </c>
      <c r="C29" s="55" t="s">
        <v>333</v>
      </c>
      <c r="D29" s="55" t="s">
        <v>276</v>
      </c>
      <c r="E29" s="112" t="s">
        <v>323</v>
      </c>
      <c r="F29" s="55" t="s">
        <v>334</v>
      </c>
      <c r="G29" s="55" t="s">
        <v>222</v>
      </c>
      <c r="H29" s="55"/>
      <c r="I29" s="112" t="s">
        <v>335</v>
      </c>
      <c r="J29" s="55" t="s">
        <v>208</v>
      </c>
      <c r="K29" s="55" t="s">
        <v>336</v>
      </c>
      <c r="L29" s="55" t="s">
        <v>337</v>
      </c>
      <c r="M29" s="112" t="s">
        <v>327</v>
      </c>
      <c r="N29" s="55" t="s">
        <v>336</v>
      </c>
      <c r="O29" s="55" t="s">
        <v>333</v>
      </c>
      <c r="P29" s="20" t="s">
        <v>204</v>
      </c>
      <c r="Q29" s="112" t="s">
        <v>338</v>
      </c>
      <c r="R29" s="55" t="s">
        <v>222</v>
      </c>
      <c r="S29" s="55" t="s">
        <v>337</v>
      </c>
      <c r="T29" s="55"/>
      <c r="U29" s="112"/>
      <c r="V29" s="119" t="s">
        <v>339</v>
      </c>
    </row>
    <row r="30" spans="1:22" s="108" customFormat="1" ht="79" customHeight="1" x14ac:dyDescent="0.25">
      <c r="A30" s="116" t="s">
        <v>340</v>
      </c>
      <c r="B30" s="117" t="s">
        <v>341</v>
      </c>
      <c r="C30" s="117" t="s">
        <v>342</v>
      </c>
      <c r="D30" s="117" t="s">
        <v>343</v>
      </c>
      <c r="E30" s="117" t="s">
        <v>344</v>
      </c>
      <c r="F30" s="117" t="s">
        <v>345</v>
      </c>
      <c r="G30" s="117" t="s">
        <v>346</v>
      </c>
      <c r="H30" s="117" t="s">
        <v>347</v>
      </c>
      <c r="I30" s="117" t="s">
        <v>348</v>
      </c>
      <c r="J30" s="117" t="s">
        <v>349</v>
      </c>
      <c r="K30" s="117" t="s">
        <v>350</v>
      </c>
      <c r="L30" s="117" t="s">
        <v>351</v>
      </c>
      <c r="M30" s="117" t="s">
        <v>352</v>
      </c>
      <c r="N30" s="117" t="s">
        <v>353</v>
      </c>
      <c r="O30" s="117" t="s">
        <v>354</v>
      </c>
      <c r="P30" s="117" t="s">
        <v>355</v>
      </c>
      <c r="Q30" s="117" t="s">
        <v>356</v>
      </c>
      <c r="R30" s="117" t="s">
        <v>357</v>
      </c>
      <c r="S30" s="117" t="s">
        <v>358</v>
      </c>
      <c r="T30" s="117"/>
      <c r="U30" s="117"/>
      <c r="V30" s="117"/>
    </row>
    <row r="31" spans="1:22" ht="27" customHeight="1" x14ac:dyDescent="0.25">
      <c r="B31" s="136" t="s">
        <v>359</v>
      </c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36"/>
      <c r="N31" s="136"/>
      <c r="O31" s="136"/>
      <c r="P31" s="136"/>
      <c r="Q31" s="136"/>
      <c r="R31" s="136"/>
      <c r="S31" s="136"/>
      <c r="T31" s="136"/>
      <c r="U31" s="136"/>
      <c r="V31" s="136"/>
    </row>
  </sheetData>
  <mergeCells count="2">
    <mergeCell ref="A1:V1"/>
    <mergeCell ref="B31:V31"/>
  </mergeCells>
  <phoneticPr fontId="36" type="noConversion"/>
  <pageMargins left="0.23611111111111099" right="0.118055555555556" top="0.23611111111111099" bottom="0.118055555555556" header="0.31458333333333299" footer="0.31458333333333299"/>
  <pageSetup paperSize="8" scale="105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16"/>
  <sheetViews>
    <sheetView showZeros="0" zoomScale="85" zoomScaleNormal="85" workbookViewId="0">
      <selection activeCell="G8" sqref="G8"/>
    </sheetView>
  </sheetViews>
  <sheetFormatPr defaultColWidth="8.8984375" defaultRowHeight="13" x14ac:dyDescent="0.25"/>
  <cols>
    <col min="1" max="1" width="15.296875" customWidth="1"/>
    <col min="2" max="3" width="20.796875" customWidth="1"/>
    <col min="4" max="4" width="22.09765625" customWidth="1"/>
    <col min="5" max="5" width="20.796875" customWidth="1"/>
  </cols>
  <sheetData>
    <row r="1" spans="1:7" ht="58" customHeight="1" x14ac:dyDescent="0.25">
      <c r="A1" s="137" t="s">
        <v>360</v>
      </c>
      <c r="B1" s="138"/>
      <c r="C1" s="138"/>
      <c r="D1" s="138"/>
      <c r="E1" s="138"/>
    </row>
    <row r="2" spans="1:7" ht="34.75" customHeight="1" x14ac:dyDescent="0.25">
      <c r="A2" s="101" t="s">
        <v>361</v>
      </c>
      <c r="B2" s="139" t="s">
        <v>236</v>
      </c>
      <c r="C2" s="140"/>
      <c r="D2" s="102" t="s">
        <v>362</v>
      </c>
      <c r="E2" s="103" t="str">
        <f>VLOOKUP($B$2,总课表!A:V,22,0)</f>
        <v>映荷楼404</v>
      </c>
    </row>
    <row r="3" spans="1:7" ht="21.65" customHeight="1" x14ac:dyDescent="0.25">
      <c r="A3" s="101" t="s">
        <v>363</v>
      </c>
      <c r="B3" s="101" t="s">
        <v>364</v>
      </c>
      <c r="C3" s="101" t="s">
        <v>365</v>
      </c>
      <c r="D3" s="104" t="s">
        <v>366</v>
      </c>
      <c r="E3" s="104" t="s">
        <v>367</v>
      </c>
    </row>
    <row r="4" spans="1:7" ht="60" customHeight="1" x14ac:dyDescent="0.25">
      <c r="A4" s="101" t="s">
        <v>368</v>
      </c>
      <c r="B4" s="105" t="str">
        <f>VLOOKUP($B$2,总课表!$A$3:$V$29,2,0)</f>
        <v>语文2
周香萍
践行楼203</v>
      </c>
      <c r="C4" s="105" t="str">
        <f>VLOOKUP($B$2,总课表!$A$3:$V$29,3,0)</f>
        <v>数学2
游思明
践行楼202</v>
      </c>
      <c r="D4" s="105" t="str">
        <f>VLOOKUP($B$2,总课表!$A$3:$V$29,4,0)</f>
        <v>英语2
谢鹏
映荷楼404</v>
      </c>
      <c r="E4" s="105" t="str">
        <f>VLOOKUP($B$2,总课表!$A$3:$V$29,5,0)</f>
        <v>周香萍
映荷楼403</v>
      </c>
    </row>
    <row r="5" spans="1:7" ht="60" customHeight="1" x14ac:dyDescent="0.25">
      <c r="A5" s="101" t="s">
        <v>369</v>
      </c>
      <c r="B5" s="105" t="str">
        <f>VLOOKUP($B$2,总课表!$A$3:$V$29,6,0)</f>
        <v>语文2
周香萍
践行楼103</v>
      </c>
      <c r="C5" s="105" t="str">
        <f>VLOOKUP($B$2,总课表!$A$3:$V$29,7,0)</f>
        <v>数学2
游思明
践行楼201</v>
      </c>
      <c r="D5" s="105">
        <f>VLOOKUP($B$2,总课表!$A$3:$V$29,8,0)</f>
        <v>0</v>
      </c>
      <c r="E5" s="105" t="str">
        <f>VLOOKUP($B$2,总课表!$A$3:$V$29,9,0)</f>
        <v>周香萍
践行楼201</v>
      </c>
    </row>
    <row r="6" spans="1:7" ht="60" customHeight="1" x14ac:dyDescent="0.25">
      <c r="A6" s="101" t="s">
        <v>370</v>
      </c>
      <c r="B6" s="105" t="str">
        <f>VLOOKUP($B$2,总课表!$A$3:$V$29,10,0)</f>
        <v>计算机应用基础2
李含笑
映荷楼403</v>
      </c>
      <c r="C6" s="105" t="str">
        <f>VLOOKUP($B$2,总课表!$A$3:$V$29,11,0)</f>
        <v>政治2
吴友才
映荷楼302</v>
      </c>
      <c r="D6" s="105" t="str">
        <f>VLOOKUP($B$2,总课表!$A$3:$V$29,12,0)</f>
        <v>VB程序设计基础
袁军萍
映荷楼403</v>
      </c>
      <c r="E6" s="105" t="str">
        <f>VLOOKUP($B$2,总课表!$A$3:$V$29,13,0)</f>
        <v>李含笑
映荷楼403</v>
      </c>
    </row>
    <row r="7" spans="1:7" ht="60" customHeight="1" x14ac:dyDescent="0.25">
      <c r="A7" s="101" t="s">
        <v>371</v>
      </c>
      <c r="B7" s="105" t="str">
        <f>VLOOKUP($B$2,总课表!$A$3:$V$29,14,0)</f>
        <v>计算机应用基础2
李含笑
★机房303</v>
      </c>
      <c r="C7" s="105" t="str">
        <f>VLOOKUP($B$2,总课表!$A$3:$V$29,15,0)</f>
        <v>政治2
吴友才
映荷楼202</v>
      </c>
      <c r="D7" s="105" t="str">
        <f>VLOOKUP($B$2,总课表!$A$3:$V$29,16,0)</f>
        <v>英语2
谢鹏
映荷楼302</v>
      </c>
      <c r="E7" s="105" t="str">
        <f>VLOOKUP($B$2,总课表!$A$3:$V$29,17,0)</f>
        <v>谢鹏
映荷楼302</v>
      </c>
    </row>
    <row r="8" spans="1:7" ht="60" customHeight="1" x14ac:dyDescent="0.25">
      <c r="A8" s="101" t="s">
        <v>372</v>
      </c>
      <c r="B8" s="105" t="str">
        <f>VLOOKUP($B$2,总课表!$A$3:$V$29,18,0)</f>
        <v>VB程序设计基础
袁军萍
★机房302</v>
      </c>
      <c r="C8" s="105" t="str">
        <f>VLOOKUP($B$2,总课表!$A$3:$V$29,19,0)</f>
        <v>体育2
彭明</v>
      </c>
      <c r="D8" s="105">
        <f>VLOOKUP($B$2,总课表!$A$3:$V$29,20,0)</f>
        <v>0</v>
      </c>
      <c r="E8" s="105">
        <f>VLOOKUP($B$2,总课表!$A$3:$V$29,21,0)</f>
        <v>0</v>
      </c>
    </row>
    <row r="9" spans="1:7" ht="129" customHeight="1" x14ac:dyDescent="0.25">
      <c r="A9" s="141" t="s">
        <v>373</v>
      </c>
      <c r="B9" s="142"/>
      <c r="C9" s="142"/>
      <c r="D9" s="142"/>
      <c r="E9" s="142"/>
      <c r="G9" s="106"/>
    </row>
    <row r="10" spans="1:7" ht="60" customHeight="1" x14ac:dyDescent="0.25"/>
    <row r="11" spans="1:7" ht="60" customHeight="1" x14ac:dyDescent="0.25"/>
    <row r="12" spans="1:7" ht="60" customHeight="1" x14ac:dyDescent="0.25"/>
    <row r="13" spans="1:7" ht="60" customHeight="1" x14ac:dyDescent="0.25"/>
    <row r="14" spans="1:7" ht="60" customHeight="1" x14ac:dyDescent="0.25"/>
    <row r="15" spans="1:7" ht="60" customHeight="1" x14ac:dyDescent="0.25"/>
    <row r="16" spans="1:7" ht="60" customHeight="1" x14ac:dyDescent="0.25"/>
  </sheetData>
  <mergeCells count="3">
    <mergeCell ref="A1:E1"/>
    <mergeCell ref="B2:C2"/>
    <mergeCell ref="A9:E9"/>
  </mergeCells>
  <phoneticPr fontId="36" type="noConversion"/>
  <pageMargins left="0.66874999999999996" right="0.23611111111111099" top="0.59027777777777801" bottom="0.35433070866141703" header="0.31496062992126" footer="0.31496062992126"/>
  <pageSetup paperSize="9" orientation="portrait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71" r:id="rId3" name="Drop Down 3">
              <controlPr defaultSize="0" print="0" autoPict="0">
                <anchor moveWithCells="1" sizeWithCells="1">
                  <from>
                    <xdr:col>1</xdr:col>
                    <xdr:colOff>0</xdr:colOff>
                    <xdr:row>2</xdr:row>
                    <xdr:rowOff>0</xdr:rowOff>
                  </from>
                  <to>
                    <xdr:col>5</xdr:col>
                    <xdr:colOff>127000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3" r:id="rId4" name="Drop Down 5">
              <controlPr defaultSize="0" print="0" autoPict="0">
                <anchor moveWithCells="1" sizeWithCells="1">
                  <from>
                    <xdr:col>1</xdr:col>
                    <xdr:colOff>0</xdr:colOff>
                    <xdr:row>2</xdr:row>
                    <xdr:rowOff>0</xdr:rowOff>
                  </from>
                  <to>
                    <xdr:col>5</xdr:col>
                    <xdr:colOff>127000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4" r:id="rId5" name="Drop Down 6">
              <controlPr defaultSize="0" print="0" autoPict="0">
                <anchor moveWithCells="1" sizeWithCells="1">
                  <from>
                    <xdr:col>1</xdr:col>
                    <xdr:colOff>0</xdr:colOff>
                    <xdr:row>2</xdr:row>
                    <xdr:rowOff>0</xdr:rowOff>
                  </from>
                  <to>
                    <xdr:col>5</xdr:col>
                    <xdr:colOff>127000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5" r:id="rId6" name="Drop Down 7">
              <controlPr defaultSize="0" print="0" autoPict="0">
                <anchor moveWithCells="1" sizeWithCells="1">
                  <from>
                    <xdr:col>1</xdr:col>
                    <xdr:colOff>0</xdr:colOff>
                    <xdr:row>2</xdr:row>
                    <xdr:rowOff>0</xdr:rowOff>
                  </from>
                  <to>
                    <xdr:col>5</xdr:col>
                    <xdr:colOff>127000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7" r:id="rId7" name="Drop Down 9">
              <controlPr defaultSize="0" print="0" autoPict="0">
                <anchor moveWithCells="1" sizeWithCells="1">
                  <from>
                    <xdr:col>1</xdr:col>
                    <xdr:colOff>0</xdr:colOff>
                    <xdr:row>2</xdr:row>
                    <xdr:rowOff>0</xdr:rowOff>
                  </from>
                  <to>
                    <xdr:col>5</xdr:col>
                    <xdr:colOff>127000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8" r:id="rId8" name="Drop Down 10">
              <controlPr defaultSize="0" print="0" autoPict="0">
                <anchor moveWithCells="1" sizeWithCells="1">
                  <from>
                    <xdr:col>1</xdr:col>
                    <xdr:colOff>0</xdr:colOff>
                    <xdr:row>2</xdr:row>
                    <xdr:rowOff>0</xdr:rowOff>
                  </from>
                  <to>
                    <xdr:col>5</xdr:col>
                    <xdr:colOff>127000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9" r:id="rId9" name="Drop Down 11">
              <controlPr defaultSize="0" print="0" autoPict="0">
                <anchor moveWithCells="1" sizeWithCells="1">
                  <from>
                    <xdr:col>1</xdr:col>
                    <xdr:colOff>0</xdr:colOff>
                    <xdr:row>2</xdr:row>
                    <xdr:rowOff>0</xdr:rowOff>
                  </from>
                  <to>
                    <xdr:col>5</xdr:col>
                    <xdr:colOff>127000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0" r:id="rId10" name="Drop Down 12">
              <controlPr defaultSize="0" print="0" autoPict="0">
                <anchor moveWithCells="1" sizeWithCells="1">
                  <from>
                    <xdr:col>1</xdr:col>
                    <xdr:colOff>0</xdr:colOff>
                    <xdr:row>2</xdr:row>
                    <xdr:rowOff>0</xdr:rowOff>
                  </from>
                  <to>
                    <xdr:col>5</xdr:col>
                    <xdr:colOff>127000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3" r:id="rId11" name="Drop Down 15">
              <controlPr defaultSize="0" print="0" autoPict="0">
                <anchor moveWithCells="1" sizeWithCells="1">
                  <from>
                    <xdr:col>1</xdr:col>
                    <xdr:colOff>0</xdr:colOff>
                    <xdr:row>2</xdr:row>
                    <xdr:rowOff>0</xdr:rowOff>
                  </from>
                  <to>
                    <xdr:col>5</xdr:col>
                    <xdr:colOff>127000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9" r:id="rId12" name="Drop Down 21">
              <controlPr defaultSize="0" print="0" autoPict="0">
                <anchor moveWithCells="1" sizeWithCells="1">
                  <from>
                    <xdr:col>1</xdr:col>
                    <xdr:colOff>0</xdr:colOff>
                    <xdr:row>2</xdr:row>
                    <xdr:rowOff>0</xdr:rowOff>
                  </from>
                  <to>
                    <xdr:col>5</xdr:col>
                    <xdr:colOff>127000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0" r:id="rId13" name="Drop Down 22">
              <controlPr defaultSize="0" print="0" autoPict="0">
                <anchor moveWithCells="1" sizeWithCells="1">
                  <from>
                    <xdr:col>1</xdr:col>
                    <xdr:colOff>0</xdr:colOff>
                    <xdr:row>2</xdr:row>
                    <xdr:rowOff>0</xdr:rowOff>
                  </from>
                  <to>
                    <xdr:col>5</xdr:col>
                    <xdr:colOff>127000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1" r:id="rId14" name="Drop Down 23">
              <controlPr defaultSize="0" print="0" autoPict="0">
                <anchor moveWithCells="1" sizeWithCells="1">
                  <from>
                    <xdr:col>1</xdr:col>
                    <xdr:colOff>0</xdr:colOff>
                    <xdr:row>2</xdr:row>
                    <xdr:rowOff>0</xdr:rowOff>
                  </from>
                  <to>
                    <xdr:col>5</xdr:col>
                    <xdr:colOff>127000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2" r:id="rId15" name="Drop Down 24">
              <controlPr defaultSize="0" print="0" autoPict="0">
                <anchor moveWithCells="1" sizeWithCells="1">
                  <from>
                    <xdr:col>1</xdr:col>
                    <xdr:colOff>0</xdr:colOff>
                    <xdr:row>2</xdr:row>
                    <xdr:rowOff>0</xdr:rowOff>
                  </from>
                  <to>
                    <xdr:col>5</xdr:col>
                    <xdr:colOff>127000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4" r:id="rId16" name="Drop Down 26">
              <controlPr defaultSize="0" print="0" autoPict="0">
                <anchor moveWithCells="1" sizeWithCells="1">
                  <from>
                    <xdr:col>1</xdr:col>
                    <xdr:colOff>0</xdr:colOff>
                    <xdr:row>2</xdr:row>
                    <xdr:rowOff>0</xdr:rowOff>
                  </from>
                  <to>
                    <xdr:col>5</xdr:col>
                    <xdr:colOff>127000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6" r:id="rId17" name="Drop Down 38">
              <controlPr defaultSize="0" print="0" autoPict="0">
                <anchor moveWithCells="1" sizeWithCells="1">
                  <from>
                    <xdr:col>1</xdr:col>
                    <xdr:colOff>0</xdr:colOff>
                    <xdr:row>2</xdr:row>
                    <xdr:rowOff>0</xdr:rowOff>
                  </from>
                  <to>
                    <xdr:col>5</xdr:col>
                    <xdr:colOff>127000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总课表!$A$3:$A$29</xm:f>
          </x14:formula1>
          <xm:sqref>B2:C2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U29"/>
  <sheetViews>
    <sheetView zoomScale="55" zoomScaleNormal="55" workbookViewId="0">
      <pane xSplit="1" ySplit="2" topLeftCell="B6" activePane="bottomRight" state="frozen"/>
      <selection pane="topRight"/>
      <selection pane="bottomLeft"/>
      <selection pane="bottomRight" activeCell="H10" sqref="H10"/>
    </sheetView>
  </sheetViews>
  <sheetFormatPr defaultColWidth="9" defaultRowHeight="13" x14ac:dyDescent="0.25"/>
  <cols>
    <col min="1" max="1" width="14.3984375" style="94" customWidth="1"/>
    <col min="2" max="2" width="17.59765625" customWidth="1"/>
    <col min="3" max="3" width="18" customWidth="1"/>
    <col min="4" max="4" width="17.59765625" customWidth="1"/>
    <col min="5" max="5" width="15.69921875" customWidth="1"/>
    <col min="6" max="6" width="17.69921875" customWidth="1"/>
    <col min="7" max="7" width="17.3984375" customWidth="1"/>
    <col min="8" max="8" width="17" customWidth="1"/>
    <col min="9" max="21" width="15.69921875" customWidth="1"/>
  </cols>
  <sheetData>
    <row r="1" spans="1:21" ht="52.5" customHeight="1" x14ac:dyDescent="0.25">
      <c r="D1" s="95" t="s">
        <v>374</v>
      </c>
      <c r="E1" s="143" t="s">
        <v>540</v>
      </c>
      <c r="F1" s="144"/>
    </row>
    <row r="2" spans="1:21" s="93" customFormat="1" ht="46.5" customHeight="1" x14ac:dyDescent="0.3">
      <c r="A2" s="122" t="s">
        <v>1</v>
      </c>
      <c r="B2" s="123" t="s">
        <v>2</v>
      </c>
      <c r="C2" s="123" t="s">
        <v>3</v>
      </c>
      <c r="D2" s="123" t="s">
        <v>4</v>
      </c>
      <c r="E2" s="123" t="s">
        <v>5</v>
      </c>
      <c r="F2" s="123" t="s">
        <v>6</v>
      </c>
      <c r="G2" s="123" t="s">
        <v>7</v>
      </c>
      <c r="H2" s="123" t="s">
        <v>8</v>
      </c>
      <c r="I2" s="123" t="s">
        <v>9</v>
      </c>
      <c r="J2" s="123" t="s">
        <v>10</v>
      </c>
      <c r="K2" s="123" t="s">
        <v>11</v>
      </c>
      <c r="L2" s="123" t="s">
        <v>12</v>
      </c>
      <c r="M2" s="123" t="s">
        <v>13</v>
      </c>
      <c r="N2" s="123" t="s">
        <v>14</v>
      </c>
      <c r="O2" s="123" t="s">
        <v>15</v>
      </c>
      <c r="P2" s="123" t="s">
        <v>16</v>
      </c>
      <c r="Q2" s="96" t="s">
        <v>17</v>
      </c>
      <c r="R2" s="123" t="s">
        <v>18</v>
      </c>
      <c r="S2" s="123" t="s">
        <v>19</v>
      </c>
      <c r="T2" s="123" t="s">
        <v>20</v>
      </c>
      <c r="U2" s="96" t="s">
        <v>21</v>
      </c>
    </row>
    <row r="3" spans="1:21" s="93" customFormat="1" ht="60" customHeight="1" x14ac:dyDescent="0.3">
      <c r="A3" s="97" t="s">
        <v>376</v>
      </c>
      <c r="B3" s="98" t="str">
        <f>IF(ISERROR(IF(FIND($E$1,总课表!B3)&gt;1,总课表!B3,"")),"",IF(FIND($E$1,总课表!B3)&gt;0,总课表!B3,""))</f>
        <v>软件工程
李星
践行楼401</v>
      </c>
      <c r="C3" s="98" t="str">
        <f>IF(ISERROR(IF(FIND($E$1,总课表!C3)&gt;1,总课表!C3,"")),"",IF(FIND($E$1,总课表!C3)&gt;0,总课表!C3,""))</f>
        <v/>
      </c>
      <c r="D3" s="98" t="str">
        <f>IF(ISERROR(IF(FIND($E$1,总课表!D3)&gt;1,总课表!D3,"")),"",IF(FIND($E$1,总课表!D3)&gt;0,总课表!D3,""))</f>
        <v/>
      </c>
      <c r="E3" s="98" t="str">
        <f>IF(ISERROR(IF(FIND($E$1,总课表!E3)&gt;1,总课表!E3,"")),"",IF(FIND($E$1,总课表!E3)&gt;0,总课表!E3,""))</f>
        <v/>
      </c>
      <c r="F3" s="98" t="str">
        <f>IF(ISERROR(IF(FIND($E$1,总课表!F3)&gt;1,总课表!F3,"")),"",IF(FIND($E$1,总课表!F3)&gt;0,总课表!F3,""))</f>
        <v/>
      </c>
      <c r="G3" s="98" t="str">
        <f>IF(ISERROR(IF(FIND($E$1,总课表!G3)&gt;1,总课表!G3,"")),"",IF(FIND($E$1,总课表!G3)&gt;0,总课表!G3,""))</f>
        <v/>
      </c>
      <c r="H3" s="98" t="str">
        <f>IF(ISERROR(IF(FIND($E$1,总课表!H3)&gt;1,总课表!H3,"")),"",IF(FIND($E$1,总课表!H3)&gt;0,总课表!H3,""))</f>
        <v/>
      </c>
      <c r="I3" s="98" t="str">
        <f>IF(ISERROR(IF(FIND($E$1,总课表!I3)&gt;1,总课表!I3,"")),"",IF(FIND($E$1,总课表!I3)&gt;0,总课表!I3,""))</f>
        <v/>
      </c>
      <c r="J3" s="98" t="str">
        <f>IF(ISERROR(IF(FIND($E$1,总课表!J3)&gt;1,总课表!J3,"")),"",IF(FIND($E$1,总课表!J3)&gt;0,总课表!J3,""))</f>
        <v/>
      </c>
      <c r="K3" s="98" t="str">
        <f>IF(ISERROR(IF(FIND($E$1,总课表!K3)&gt;1,总课表!K3,"")),"",IF(FIND($E$1,总课表!K3)&gt;0,总课表!K3,""))</f>
        <v/>
      </c>
      <c r="L3" s="98" t="str">
        <f>IF(ISERROR(IF(FIND($E$1,总课表!L3)&gt;1,总课表!L3,"")),"",IF(FIND($E$1,总课表!L3)&gt;0,总课表!L3,""))</f>
        <v/>
      </c>
      <c r="M3" s="98" t="str">
        <f>IF(ISERROR(IF(FIND($E$1,总课表!M3)&gt;1,总课表!M3,"")),"",IF(FIND($E$1,总课表!M3)&gt;0,总课表!M3,""))</f>
        <v/>
      </c>
      <c r="N3" s="98" t="str">
        <f>IF(ISERROR(IF(FIND($E$1,总课表!N3)&gt;1,总课表!N3,"")),"",IF(FIND($E$1,总课表!N3)&gt;0,总课表!N3,""))</f>
        <v/>
      </c>
      <c r="O3" s="98" t="str">
        <f>IF(ISERROR(IF(FIND($E$1,总课表!O3)&gt;1,总课表!O3,"")),"",IF(FIND($E$1,总课表!O3)&gt;0,总课表!O3,""))</f>
        <v/>
      </c>
      <c r="P3" s="98" t="str">
        <f>IF(ISERROR(IF(FIND($E$1,总课表!P3)&gt;1,总课表!P3,"")),"",IF(FIND($E$1,总课表!P3)&gt;0,总课表!P3,""))</f>
        <v/>
      </c>
      <c r="Q3" s="98" t="str">
        <f>IF(ISERROR(IF(FIND($E$1,总课表!Q3)&gt;1,总课表!Q3,"")),"",IF(FIND($E$1,总课表!Q3)&gt;0,总课表!Q3,""))</f>
        <v/>
      </c>
      <c r="R3" s="98" t="str">
        <f>IF(ISERROR(IF(FIND($E$1,总课表!R3)&gt;1,总课表!R3,"")),"",IF(FIND($E$1,总课表!R3)&gt;0,总课表!R3,""))</f>
        <v/>
      </c>
      <c r="S3" s="98" t="str">
        <f>IF(ISERROR(IF(FIND($E$1,总课表!S3)&gt;1,总课表!S3,"")),"",IF(FIND($E$1,总课表!S3)&gt;0,总课表!S3,""))</f>
        <v/>
      </c>
      <c r="T3" s="98" t="str">
        <f>IF(ISERROR(IF(FIND($E$1,总课表!T3)&gt;1,总课表!T3,"")),"",IF(FIND($E$1,总课表!T3)&gt;0,总课表!T3,""))</f>
        <v/>
      </c>
      <c r="U3" s="98" t="str">
        <f>IF(ISERROR(IF(FIND($E$1,总课表!U3)&gt;1,总课表!U3,"")),"",IF(FIND($E$1,总课表!U3)&gt;0,总课表!U3,""))</f>
        <v/>
      </c>
    </row>
    <row r="4" spans="1:21" s="93" customFormat="1" ht="60" customHeight="1" x14ac:dyDescent="0.3">
      <c r="A4" s="97" t="s">
        <v>377</v>
      </c>
      <c r="B4" s="98" t="str">
        <f>IF(ISERROR(IF(FIND($E$1,总课表!B4)&gt;1,总课表!B4,"")),"",IF(FIND($E$1,总课表!B4)&gt;0,总课表!B4,""))</f>
        <v>软件工程
李星
践行楼401</v>
      </c>
      <c r="C4" s="98" t="str">
        <f>IF(ISERROR(IF(FIND($E$1,总课表!C4)&gt;1,总课表!C4,"")),"",IF(FIND($E$1,总课表!C4)&gt;0,总课表!C4,""))</f>
        <v/>
      </c>
      <c r="D4" s="98" t="str">
        <f>IF(ISERROR(IF(FIND($E$1,总课表!D4)&gt;1,总课表!D4,"")),"",IF(FIND($E$1,总课表!D4)&gt;0,总课表!D4,""))</f>
        <v/>
      </c>
      <c r="E4" s="98" t="str">
        <f>IF(ISERROR(IF(FIND($E$1,总课表!E4)&gt;1,总课表!E4,"")),"",IF(FIND($E$1,总课表!E4)&gt;0,总课表!E4,""))</f>
        <v/>
      </c>
      <c r="F4" s="98" t="str">
        <f>IF(ISERROR(IF(FIND($E$1,总课表!F4)&gt;1,总课表!F4,"")),"",IF(FIND($E$1,总课表!F4)&gt;0,总课表!F4,""))</f>
        <v/>
      </c>
      <c r="G4" s="98" t="str">
        <f>IF(ISERROR(IF(FIND($E$1,总课表!G4)&gt;1,总课表!G4,"")),"",IF(FIND($E$1,总课表!G4)&gt;0,总课表!G4,""))</f>
        <v/>
      </c>
      <c r="H4" s="98" t="str">
        <f>IF(ISERROR(IF(FIND($E$1,总课表!H4)&gt;1,总课表!H4,"")),"",IF(FIND($E$1,总课表!H4)&gt;0,总课表!H4,""))</f>
        <v/>
      </c>
      <c r="I4" s="98" t="str">
        <f>IF(ISERROR(IF(FIND($E$1,总课表!I4)&gt;1,总课表!I4,"")),"",IF(FIND($E$1,总课表!I4)&gt;0,总课表!I4,""))</f>
        <v/>
      </c>
      <c r="J4" s="98" t="str">
        <f>IF(ISERROR(IF(FIND($E$1,总课表!J4)&gt;1,总课表!J4,"")),"",IF(FIND($E$1,总课表!J4)&gt;0,总课表!J4,""))</f>
        <v/>
      </c>
      <c r="K4" s="98" t="str">
        <f>IF(ISERROR(IF(FIND($E$1,总课表!K4)&gt;1,总课表!K4,"")),"",IF(FIND($E$1,总课表!K4)&gt;0,总课表!K4,""))</f>
        <v/>
      </c>
      <c r="L4" s="98" t="str">
        <f>IF(ISERROR(IF(FIND($E$1,总课表!L4)&gt;1,总课表!L4,"")),"",IF(FIND($E$1,总课表!L4)&gt;0,总课表!L4,""))</f>
        <v/>
      </c>
      <c r="M4" s="98" t="str">
        <f>IF(ISERROR(IF(FIND($E$1,总课表!M4)&gt;1,总课表!M4,"")),"",IF(FIND($E$1,总课表!M4)&gt;0,总课表!M4,""))</f>
        <v/>
      </c>
      <c r="N4" s="98" t="str">
        <f>IF(ISERROR(IF(FIND($E$1,总课表!N4)&gt;1,总课表!N4,"")),"",IF(FIND($E$1,总课表!N4)&gt;0,总课表!N4,""))</f>
        <v/>
      </c>
      <c r="O4" s="98" t="str">
        <f>IF(ISERROR(IF(FIND($E$1,总课表!O4)&gt;1,总课表!O4,"")),"",IF(FIND($E$1,总课表!O4)&gt;0,总课表!O4,""))</f>
        <v/>
      </c>
      <c r="P4" s="98" t="str">
        <f>IF(ISERROR(IF(FIND($E$1,总课表!P4)&gt;1,总课表!P4,"")),"",IF(FIND($E$1,总课表!P4)&gt;0,总课表!P4,""))</f>
        <v/>
      </c>
      <c r="Q4" s="98" t="str">
        <f>IF(ISERROR(IF(FIND($E$1,总课表!Q4)&gt;1,总课表!Q4,"")),"",IF(FIND($E$1,总课表!Q4)&gt;0,总课表!Q4,""))</f>
        <v/>
      </c>
      <c r="R4" s="98" t="str">
        <f>IF(ISERROR(IF(FIND($E$1,总课表!R4)&gt;1,总课表!R4,"")),"",IF(FIND($E$1,总课表!R4)&gt;0,总课表!R4,""))</f>
        <v/>
      </c>
      <c r="S4" s="98" t="str">
        <f>IF(ISERROR(IF(FIND($E$1,总课表!S4)&gt;1,总课表!S4,"")),"",IF(FIND($E$1,总课表!S4)&gt;0,总课表!S4,""))</f>
        <v/>
      </c>
      <c r="T4" s="98" t="str">
        <f>IF(ISERROR(IF(FIND($E$1,总课表!T4)&gt;1,总课表!T4,"")),"",IF(FIND($E$1,总课表!T4)&gt;0,总课表!T4,""))</f>
        <v/>
      </c>
      <c r="U4" s="98" t="str">
        <f>IF(ISERROR(IF(FIND($E$1,总课表!U4)&gt;1,总课表!U4,"")),"",IF(FIND($E$1,总课表!U4)&gt;0,总课表!U4,""))</f>
        <v/>
      </c>
    </row>
    <row r="5" spans="1:21" s="93" customFormat="1" ht="60" customHeight="1" x14ac:dyDescent="0.3">
      <c r="A5" s="97" t="s">
        <v>378</v>
      </c>
      <c r="B5" s="98" t="str">
        <f>IF(ISERROR(IF(FIND($E$1,总课表!B5)&gt;1,总课表!B5,"")),"",IF(FIND($E$1,总课表!B5)&gt;0,总课表!B5,""))</f>
        <v/>
      </c>
      <c r="C5" s="98" t="str">
        <f>IF(ISERROR(IF(FIND($E$1,总课表!C5)&gt;1,总课表!C5,"")),"",IF(FIND($E$1,总课表!C5)&gt;0,总课表!C5,""))</f>
        <v/>
      </c>
      <c r="D5" s="98" t="str">
        <f>IF(ISERROR(IF(FIND($E$1,总课表!D5)&gt;1,总课表!D5,"")),"",IF(FIND($E$1,总课表!D5)&gt;0,总课表!D5,""))</f>
        <v/>
      </c>
      <c r="E5" s="98" t="str">
        <f>IF(ISERROR(IF(FIND($E$1,总课表!E5)&gt;1,总课表!E5,"")),"",IF(FIND($E$1,总课表!E5)&gt;0,总课表!E5,""))</f>
        <v/>
      </c>
      <c r="F5" s="98" t="str">
        <f>IF(ISERROR(IF(FIND($E$1,总课表!F5)&gt;1,总课表!F5,"")),"",IF(FIND($E$1,总课表!F5)&gt;0,总课表!F5,""))</f>
        <v/>
      </c>
      <c r="G5" s="98" t="str">
        <f>IF(ISERROR(IF(FIND($E$1,总课表!G5)&gt;1,总课表!G5,"")),"",IF(FIND($E$1,总课表!G5)&gt;0,总课表!G5,""))</f>
        <v>软件工程
李星
践行楼401</v>
      </c>
      <c r="H5" s="98" t="str">
        <f>IF(ISERROR(IF(FIND($E$1,总课表!H5)&gt;1,总课表!H5,"")),"",IF(FIND($E$1,总课表!H5)&gt;0,总课表!H5,""))</f>
        <v/>
      </c>
      <c r="I5" s="98" t="str">
        <f>IF(ISERROR(IF(FIND($E$1,总课表!I5)&gt;1,总课表!I5,"")),"",IF(FIND($E$1,总课表!I5)&gt;0,总课表!I5,""))</f>
        <v/>
      </c>
      <c r="J5" s="98" t="str">
        <f>IF(ISERROR(IF(FIND($E$1,总课表!J5)&gt;1,总课表!J5,"")),"",IF(FIND($E$1,总课表!J5)&gt;0,总课表!J5,""))</f>
        <v/>
      </c>
      <c r="K5" s="98" t="str">
        <f>IF(ISERROR(IF(FIND($E$1,总课表!K5)&gt;1,总课表!K5,"")),"",IF(FIND($E$1,总课表!K5)&gt;0,总课表!K5,""))</f>
        <v/>
      </c>
      <c r="L5" s="98" t="str">
        <f>IF(ISERROR(IF(FIND($E$1,总课表!L5)&gt;1,总课表!L5,"")),"",IF(FIND($E$1,总课表!L5)&gt;0,总课表!L5,""))</f>
        <v/>
      </c>
      <c r="M5" s="98" t="str">
        <f>IF(ISERROR(IF(FIND($E$1,总课表!M5)&gt;1,总课表!M5,"")),"",IF(FIND($E$1,总课表!M5)&gt;0,总课表!M5,""))</f>
        <v/>
      </c>
      <c r="N5" s="98" t="str">
        <f>IF(ISERROR(IF(FIND($E$1,总课表!N5)&gt;1,总课表!N5,"")),"",IF(FIND($E$1,总课表!N5)&gt;0,总课表!N5,""))</f>
        <v/>
      </c>
      <c r="O5" s="98" t="str">
        <f>IF(ISERROR(IF(FIND($E$1,总课表!O5)&gt;1,总课表!O5,"")),"",IF(FIND($E$1,总课表!O5)&gt;0,总课表!O5,""))</f>
        <v/>
      </c>
      <c r="P5" s="98" t="str">
        <f>IF(ISERROR(IF(FIND($E$1,总课表!P5)&gt;1,总课表!P5,"")),"",IF(FIND($E$1,总课表!P5)&gt;0,总课表!P5,""))</f>
        <v/>
      </c>
      <c r="Q5" s="98" t="str">
        <f>IF(ISERROR(IF(FIND($E$1,总课表!Q5)&gt;1,总课表!Q5,"")),"",IF(FIND($E$1,总课表!Q5)&gt;0,总课表!Q5,""))</f>
        <v/>
      </c>
      <c r="R5" s="98" t="str">
        <f>IF(ISERROR(IF(FIND($E$1,总课表!R5)&gt;1,总课表!R5,"")),"",IF(FIND($E$1,总课表!R5)&gt;0,总课表!R5,""))</f>
        <v/>
      </c>
      <c r="S5" s="98" t="str">
        <f>IF(ISERROR(IF(FIND($E$1,总课表!S5)&gt;1,总课表!S5,"")),"",IF(FIND($E$1,总课表!S5)&gt;0,总课表!S5,""))</f>
        <v/>
      </c>
      <c r="T5" s="98" t="str">
        <f>IF(ISERROR(IF(FIND($E$1,总课表!T5)&gt;1,总课表!T5,"")),"",IF(FIND($E$1,总课表!T5)&gt;0,总课表!T5,""))</f>
        <v/>
      </c>
      <c r="U5" s="98" t="str">
        <f>IF(ISERROR(IF(FIND($E$1,总课表!U5)&gt;1,总课表!U5,"")),"",IF(FIND($E$1,总课表!U5)&gt;0,总课表!U5,""))</f>
        <v/>
      </c>
    </row>
    <row r="6" spans="1:21" s="93" customFormat="1" ht="60" customHeight="1" x14ac:dyDescent="0.3">
      <c r="A6" s="97" t="s">
        <v>379</v>
      </c>
      <c r="B6" s="98" t="str">
        <f>IF(ISERROR(IF(FIND($E$1,总课表!B6)&gt;1,总课表!B6,"")),"",IF(FIND($E$1,总课表!B6)&gt;0,总课表!B6,""))</f>
        <v/>
      </c>
      <c r="C6" s="98" t="str">
        <f>IF(ISERROR(IF(FIND($E$1,总课表!C6)&gt;1,总课表!C6,"")),"",IF(FIND($E$1,总课表!C6)&gt;0,总课表!C6,""))</f>
        <v/>
      </c>
      <c r="D6" s="98" t="str">
        <f>IF(ISERROR(IF(FIND($E$1,总课表!D6)&gt;1,总课表!D6,"")),"",IF(FIND($E$1,总课表!D6)&gt;0,总课表!D6,""))</f>
        <v/>
      </c>
      <c r="E6" s="98" t="str">
        <f>IF(ISERROR(IF(FIND($E$1,总课表!E6)&gt;1,总课表!E6,"")),"",IF(FIND($E$1,总课表!E6)&gt;0,总课表!E6,""))</f>
        <v/>
      </c>
      <c r="F6" s="98" t="str">
        <f>IF(ISERROR(IF(FIND($E$1,总课表!F6)&gt;1,总课表!F6,"")),"",IF(FIND($E$1,总课表!F6)&gt;0,总课表!F6,""))</f>
        <v/>
      </c>
      <c r="G6" s="98" t="str">
        <f>IF(ISERROR(IF(FIND($E$1,总课表!G6)&gt;1,总课表!G6,"")),"",IF(FIND($E$1,总课表!G6)&gt;0,总课表!G6,""))</f>
        <v>软件工程
李星
践行楼401</v>
      </c>
      <c r="H6" s="98" t="str">
        <f>IF(ISERROR(IF(FIND($E$1,总课表!H6)&gt;1,总课表!H6,"")),"",IF(FIND($E$1,总课表!H6)&gt;0,总课表!H6,""))</f>
        <v/>
      </c>
      <c r="I6" s="98" t="str">
        <f>IF(ISERROR(IF(FIND($E$1,总课表!I6)&gt;1,总课表!I6,"")),"",IF(FIND($E$1,总课表!I6)&gt;0,总课表!I6,""))</f>
        <v/>
      </c>
      <c r="J6" s="98" t="str">
        <f>IF(ISERROR(IF(FIND($E$1,总课表!J6)&gt;1,总课表!J6,"")),"",IF(FIND($E$1,总课表!J6)&gt;0,总课表!J6,""))</f>
        <v/>
      </c>
      <c r="K6" s="98" t="str">
        <f>IF(ISERROR(IF(FIND($E$1,总课表!K6)&gt;1,总课表!K6,"")),"",IF(FIND($E$1,总课表!K6)&gt;0,总课表!K6,""))</f>
        <v/>
      </c>
      <c r="L6" s="98" t="str">
        <f>IF(ISERROR(IF(FIND($E$1,总课表!L6)&gt;1,总课表!L6,"")),"",IF(FIND($E$1,总课表!L6)&gt;0,总课表!L6,""))</f>
        <v/>
      </c>
      <c r="M6" s="98" t="str">
        <f>IF(ISERROR(IF(FIND($E$1,总课表!M6)&gt;1,总课表!M6,"")),"",IF(FIND($E$1,总课表!M6)&gt;0,总课表!M6,""))</f>
        <v/>
      </c>
      <c r="N6" s="98" t="str">
        <f>IF(ISERROR(IF(FIND($E$1,总课表!N6)&gt;1,总课表!N6,"")),"",IF(FIND($E$1,总课表!N6)&gt;0,总课表!N6,""))</f>
        <v/>
      </c>
      <c r="O6" s="98" t="str">
        <f>IF(ISERROR(IF(FIND($E$1,总课表!O6)&gt;1,总课表!O6,"")),"",IF(FIND($E$1,总课表!O6)&gt;0,总课表!O6,""))</f>
        <v/>
      </c>
      <c r="P6" s="98" t="str">
        <f>IF(ISERROR(IF(FIND($E$1,总课表!P6)&gt;1,总课表!P6,"")),"",IF(FIND($E$1,总课表!P6)&gt;0,总课表!P6,""))</f>
        <v/>
      </c>
      <c r="Q6" s="98" t="str">
        <f>IF(ISERROR(IF(FIND($E$1,总课表!Q6)&gt;1,总课表!Q6,"")),"",IF(FIND($E$1,总课表!Q6)&gt;0,总课表!Q6,""))</f>
        <v/>
      </c>
      <c r="R6" s="98" t="str">
        <f>IF(ISERROR(IF(FIND($E$1,总课表!R6)&gt;1,总课表!R6,"")),"",IF(FIND($E$1,总课表!R6)&gt;0,总课表!R6,""))</f>
        <v/>
      </c>
      <c r="S6" s="98" t="str">
        <f>IF(ISERROR(IF(FIND($E$1,总课表!S6)&gt;1,总课表!S6,"")),"",IF(FIND($E$1,总课表!S6)&gt;0,总课表!S6,""))</f>
        <v/>
      </c>
      <c r="T6" s="98" t="str">
        <f>IF(ISERROR(IF(FIND($E$1,总课表!T6)&gt;1,总课表!T6,"")),"",IF(FIND($E$1,总课表!T6)&gt;0,总课表!T6,""))</f>
        <v/>
      </c>
      <c r="U6" s="98" t="str">
        <f>IF(ISERROR(IF(FIND($E$1,总课表!U6)&gt;1,总课表!U6,"")),"",IF(FIND($E$1,总课表!U6)&gt;0,总课表!U6,""))</f>
        <v/>
      </c>
    </row>
    <row r="7" spans="1:21" s="93" customFormat="1" ht="60" customHeight="1" x14ac:dyDescent="0.3">
      <c r="A7" s="97" t="s">
        <v>49</v>
      </c>
      <c r="B7" s="98" t="str">
        <f>IF(ISERROR(IF(FIND($E$1,总课表!B7)&gt;1,总课表!B7,"")),"",IF(FIND($E$1,总课表!B7)&gt;0,总课表!B7,""))</f>
        <v/>
      </c>
      <c r="C7" s="98" t="str">
        <f>IF(ISERROR(IF(FIND($E$1,总课表!C7)&gt;1,总课表!C7,"")),"",IF(FIND($E$1,总课表!C7)&gt;0,总课表!C7,""))</f>
        <v/>
      </c>
      <c r="D7" s="98" t="str">
        <f>IF(ISERROR(IF(FIND($E$1,总课表!D7)&gt;1,总课表!D7,"")),"",IF(FIND($E$1,总课表!D7)&gt;0,总课表!D7,""))</f>
        <v/>
      </c>
      <c r="E7" s="98" t="str">
        <f>IF(ISERROR(IF(FIND($E$1,总课表!E7)&gt;1,总课表!E7,"")),"",IF(FIND($E$1,总课表!E7)&gt;0,总课表!E7,""))</f>
        <v/>
      </c>
      <c r="F7" s="98" t="str">
        <f>IF(ISERROR(IF(FIND($E$1,总课表!F7)&gt;1,总课表!F7,"")),"",IF(FIND($E$1,总课表!F7)&gt;0,总课表!F7,""))</f>
        <v/>
      </c>
      <c r="G7" s="98" t="str">
        <f>IF(ISERROR(IF(FIND($E$1,总课表!G7)&gt;1,总课表!G7,"")),"",IF(FIND($E$1,总课表!G7)&gt;0,总课表!G7,""))</f>
        <v/>
      </c>
      <c r="H7" s="98" t="str">
        <f>IF(ISERROR(IF(FIND($E$1,总课表!H7)&gt;1,总课表!H7,"")),"",IF(FIND($E$1,总课表!H7)&gt;0,总课表!H7,""))</f>
        <v/>
      </c>
      <c r="I7" s="98" t="str">
        <f>IF(ISERROR(IF(FIND($E$1,总课表!I7)&gt;1,总课表!I7,"")),"",IF(FIND($E$1,总课表!I7)&gt;0,总课表!I7,""))</f>
        <v/>
      </c>
      <c r="J7" s="98" t="str">
        <f>IF(ISERROR(IF(FIND($E$1,总课表!J7)&gt;1,总课表!J7,"")),"",IF(FIND($E$1,总课表!J7)&gt;0,总课表!J7,""))</f>
        <v/>
      </c>
      <c r="K7" s="98" t="str">
        <f>IF(ISERROR(IF(FIND($E$1,总课表!K7)&gt;1,总课表!K7,"")),"",IF(FIND($E$1,总课表!K7)&gt;0,总课表!K7,""))</f>
        <v/>
      </c>
      <c r="L7" s="98" t="str">
        <f>IF(ISERROR(IF(FIND($E$1,总课表!L7)&gt;1,总课表!L7,"")),"",IF(FIND($E$1,总课表!L7)&gt;0,总课表!L7,""))</f>
        <v/>
      </c>
      <c r="M7" s="98" t="str">
        <f>IF(ISERROR(IF(FIND($E$1,总课表!M7)&gt;1,总课表!M7,"")),"",IF(FIND($E$1,总课表!M7)&gt;0,总课表!M7,""))</f>
        <v/>
      </c>
      <c r="N7" s="98" t="str">
        <f>IF(ISERROR(IF(FIND($E$1,总课表!N7)&gt;1,总课表!N7,"")),"",IF(FIND($E$1,总课表!N7)&gt;0,总课表!N7,""))</f>
        <v/>
      </c>
      <c r="O7" s="98" t="str">
        <f>IF(ISERROR(IF(FIND($E$1,总课表!O7)&gt;1,总课表!O7,"")),"",IF(FIND($E$1,总课表!O7)&gt;0,总课表!O7,""))</f>
        <v/>
      </c>
      <c r="P7" s="98" t="str">
        <f>IF(ISERROR(IF(FIND($E$1,总课表!P7)&gt;1,总课表!P7,"")),"",IF(FIND($E$1,总课表!P7)&gt;0,总课表!P7,""))</f>
        <v/>
      </c>
      <c r="Q7" s="98" t="str">
        <f>IF(ISERROR(IF(FIND($E$1,总课表!Q7)&gt;1,总课表!Q7,"")),"",IF(FIND($E$1,总课表!Q7)&gt;0,总课表!Q7,""))</f>
        <v/>
      </c>
      <c r="R7" s="98" t="str">
        <f>IF(ISERROR(IF(FIND($E$1,总课表!R7)&gt;1,总课表!R7,"")),"",IF(FIND($E$1,总课表!R7)&gt;0,总课表!R7,""))</f>
        <v/>
      </c>
      <c r="S7" s="98" t="str">
        <f>IF(ISERROR(IF(FIND($E$1,总课表!S7)&gt;1,总课表!S7,"")),"",IF(FIND($E$1,总课表!S7)&gt;0,总课表!S7,""))</f>
        <v/>
      </c>
      <c r="T7" s="98" t="str">
        <f>IF(ISERROR(IF(FIND($E$1,总课表!T7)&gt;1,总课表!T7,"")),"",IF(FIND($E$1,总课表!T7)&gt;0,总课表!T7,""))</f>
        <v/>
      </c>
      <c r="U7" s="98" t="str">
        <f>IF(ISERROR(IF(FIND($E$1,总课表!U7)&gt;1,总课表!U7,"")),"",IF(FIND($E$1,总课表!U7)&gt;0,总课表!U7,""))</f>
        <v/>
      </c>
    </row>
    <row r="8" spans="1:21" s="93" customFormat="1" ht="60" customHeight="1" x14ac:dyDescent="0.3">
      <c r="A8" s="97" t="s">
        <v>61</v>
      </c>
      <c r="B8" s="98" t="str">
        <f>IF(ISERROR(IF(FIND($E$1,总课表!B8)&gt;1,总课表!B8,"")),"",IF(FIND($E$1,总课表!B8)&gt;0,总课表!B8,""))</f>
        <v/>
      </c>
      <c r="C8" s="98" t="str">
        <f>IF(ISERROR(IF(FIND($E$1,总课表!C8)&gt;1,总课表!C8,"")),"",IF(FIND($E$1,总课表!C8)&gt;0,总课表!C8,""))</f>
        <v/>
      </c>
      <c r="D8" s="98" t="str">
        <f>IF(ISERROR(IF(FIND($E$1,总课表!D8)&gt;1,总课表!D8,"")),"",IF(FIND($E$1,总课表!D8)&gt;0,总课表!D8,""))</f>
        <v/>
      </c>
      <c r="E8" s="98" t="str">
        <f>IF(ISERROR(IF(FIND($E$1,总课表!E8)&gt;1,总课表!E8,"")),"",IF(FIND($E$1,总课表!E8)&gt;0,总课表!E8,""))</f>
        <v/>
      </c>
      <c r="F8" s="98" t="str">
        <f>IF(ISERROR(IF(FIND($E$1,总课表!F8)&gt;1,总课表!F8,"")),"",IF(FIND($E$1,总课表!F8)&gt;0,总课表!F8,""))</f>
        <v/>
      </c>
      <c r="G8" s="98" t="str">
        <f>IF(ISERROR(IF(FIND($E$1,总课表!G8)&gt;1,总课表!G8,"")),"",IF(FIND($E$1,总课表!G8)&gt;0,总课表!G8,""))</f>
        <v/>
      </c>
      <c r="H8" s="98" t="str">
        <f>IF(ISERROR(IF(FIND($E$1,总课表!H8)&gt;1,总课表!H8,"")),"",IF(FIND($E$1,总课表!H8)&gt;0,总课表!H8,""))</f>
        <v/>
      </c>
      <c r="I8" s="98" t="str">
        <f>IF(ISERROR(IF(FIND($E$1,总课表!I8)&gt;1,总课表!I8,"")),"",IF(FIND($E$1,总课表!I8)&gt;0,总课表!I8,""))</f>
        <v/>
      </c>
      <c r="J8" s="98" t="str">
        <f>IF(ISERROR(IF(FIND($E$1,总课表!J8)&gt;1,总课表!J8,"")),"",IF(FIND($E$1,总课表!J8)&gt;0,总课表!J8,""))</f>
        <v/>
      </c>
      <c r="K8" s="98" t="str">
        <f>IF(ISERROR(IF(FIND($E$1,总课表!K8)&gt;1,总课表!K8,"")),"",IF(FIND($E$1,总课表!K8)&gt;0,总课表!K8,""))</f>
        <v/>
      </c>
      <c r="L8" s="98" t="str">
        <f>IF(ISERROR(IF(FIND($E$1,总课表!L8)&gt;1,总课表!L8,"")),"",IF(FIND($E$1,总课表!L8)&gt;0,总课表!L8,""))</f>
        <v/>
      </c>
      <c r="M8" s="98" t="str">
        <f>IF(ISERROR(IF(FIND($E$1,总课表!M8)&gt;1,总课表!M8,"")),"",IF(FIND($E$1,总课表!M8)&gt;0,总课表!M8,""))</f>
        <v/>
      </c>
      <c r="N8" s="98" t="str">
        <f>IF(ISERROR(IF(FIND($E$1,总课表!N8)&gt;1,总课表!N8,"")),"",IF(FIND($E$1,总课表!N8)&gt;0,总课表!N8,""))</f>
        <v/>
      </c>
      <c r="O8" s="98" t="str">
        <f>IF(ISERROR(IF(FIND($E$1,总课表!O8)&gt;1,总课表!O8,"")),"",IF(FIND($E$1,总课表!O8)&gt;0,总课表!O8,""))</f>
        <v/>
      </c>
      <c r="P8" s="98" t="str">
        <f>IF(ISERROR(IF(FIND($E$1,总课表!P8)&gt;1,总课表!P8,"")),"",IF(FIND($E$1,总课表!P8)&gt;0,总课表!P8,""))</f>
        <v/>
      </c>
      <c r="Q8" s="98" t="str">
        <f>IF(ISERROR(IF(FIND($E$1,总课表!Q8)&gt;1,总课表!Q8,"")),"",IF(FIND($E$1,总课表!Q8)&gt;0,总课表!Q8,""))</f>
        <v/>
      </c>
      <c r="R8" s="98" t="str">
        <f>IF(ISERROR(IF(FIND($E$1,总课表!R8)&gt;1,总课表!R8,"")),"",IF(FIND($E$1,总课表!R8)&gt;0,总课表!R8,""))</f>
        <v/>
      </c>
      <c r="S8" s="98" t="str">
        <f>IF(ISERROR(IF(FIND($E$1,总课表!S8)&gt;1,总课表!S8,"")),"",IF(FIND($E$1,总课表!S8)&gt;0,总课表!S8,""))</f>
        <v/>
      </c>
      <c r="T8" s="98" t="str">
        <f>IF(ISERROR(IF(FIND($E$1,总课表!T8)&gt;1,总课表!T8,"")),"",IF(FIND($E$1,总课表!T8)&gt;0,总课表!T8,""))</f>
        <v/>
      </c>
      <c r="U8" s="98" t="str">
        <f>IF(ISERROR(IF(FIND($E$1,总课表!U8)&gt;1,总课表!U8,"")),"",IF(FIND($E$1,总课表!U8)&gt;0,总课表!U8,""))</f>
        <v/>
      </c>
    </row>
    <row r="9" spans="1:21" s="93" customFormat="1" ht="68" customHeight="1" x14ac:dyDescent="0.3">
      <c r="A9" s="99" t="s">
        <v>72</v>
      </c>
      <c r="B9" s="98" t="str">
        <f>IF(ISERROR(IF(FIND($E$1,总课表!B9)&gt;1,总课表!B9,"")),"",IF(FIND($E$1,总课表!B9)&gt;0,总课表!B9,""))</f>
        <v/>
      </c>
      <c r="C9" s="98" t="str">
        <f>IF(ISERROR(IF(FIND($E$1,总课表!C9)&gt;1,总课表!C9,"")),"",IF(FIND($E$1,总课表!C9)&gt;0,总课表!C9,""))</f>
        <v/>
      </c>
      <c r="D9" s="98" t="str">
        <f>IF(ISERROR(IF(FIND($E$1,总课表!D9)&gt;1,总课表!D9,"")),"",IF(FIND($E$1,总课表!D9)&gt;0,总课表!D9,""))</f>
        <v>数据库技术基础
李星
映荷楼403</v>
      </c>
      <c r="E9" s="98" t="str">
        <f>IF(ISERROR(IF(FIND($E$1,总课表!E9)&gt;1,总课表!E9,"")),"",IF(FIND($E$1,总课表!E9)&gt;0,总课表!E9,""))</f>
        <v>李星
践行楼101</v>
      </c>
      <c r="F9" s="98" t="str">
        <f>IF(ISERROR(IF(FIND($E$1,总课表!F9)&gt;1,总课表!F9,"")),"",IF(FIND($E$1,总课表!F9)&gt;0,总课表!F9,""))</f>
        <v/>
      </c>
      <c r="G9" s="98" t="str">
        <f>IF(ISERROR(IF(FIND($E$1,总课表!G9)&gt;1,总课表!G9,"")),"",IF(FIND($E$1,总课表!G9)&gt;0,总课表!G9,""))</f>
        <v/>
      </c>
      <c r="H9" s="98" t="str">
        <f>IF(ISERROR(IF(FIND($E$1,总课表!H9)&gt;1,总课表!H9,"")),"",IF(FIND($E$1,总课表!H9)&gt;0,总课表!H9,""))</f>
        <v/>
      </c>
      <c r="I9" s="98" t="str">
        <f>IF(ISERROR(IF(FIND($E$1,总课表!I9)&gt;1,总课表!I9,"")),"",IF(FIND($E$1,总课表!I9)&gt;0,总课表!I9,""))</f>
        <v/>
      </c>
      <c r="J9" s="98" t="str">
        <f>IF(ISERROR(IF(FIND($E$1,总课表!J9)&gt;1,总课表!J9,"")),"",IF(FIND($E$1,总课表!J9)&gt;0,总课表!J9,""))</f>
        <v>数据库技术基础
李星
★机房301</v>
      </c>
      <c r="K9" s="98" t="str">
        <f>IF(ISERROR(IF(FIND($E$1,总课表!K9)&gt;1,总课表!K9,"")),"",IF(FIND($E$1,总课表!K9)&gt;0,总课表!K9,""))</f>
        <v/>
      </c>
      <c r="L9" s="98" t="str">
        <f>IF(ISERROR(IF(FIND($E$1,总课表!L9)&gt;1,总课表!L9,"")),"",IF(FIND($E$1,总课表!L9)&gt;0,总课表!L9,""))</f>
        <v/>
      </c>
      <c r="M9" s="98" t="str">
        <f>IF(ISERROR(IF(FIND($E$1,总课表!M9)&gt;1,总课表!M9,"")),"",IF(FIND($E$1,总课表!M9)&gt;0,总课表!M9,""))</f>
        <v/>
      </c>
      <c r="N9" s="98" t="str">
        <f>IF(ISERROR(IF(FIND($E$1,总课表!N9)&gt;1,总课表!N9,"")),"",IF(FIND($E$1,总课表!N9)&gt;0,总课表!N9,""))</f>
        <v>数据库技术基础
李星
践行楼101</v>
      </c>
      <c r="O9" s="98" t="str">
        <f>IF(ISERROR(IF(FIND($E$1,总课表!O9)&gt;1,总课表!O9,"")),"",IF(FIND($E$1,总课表!O9)&gt;0,总课表!O9,""))</f>
        <v/>
      </c>
      <c r="P9" s="98" t="str">
        <f>IF(ISERROR(IF(FIND($E$1,总课表!P9)&gt;1,总课表!P9,"")),"",IF(FIND($E$1,总课表!P9)&gt;0,总课表!P9,""))</f>
        <v/>
      </c>
      <c r="Q9" s="98" t="str">
        <f>IF(ISERROR(IF(FIND($E$1,总课表!Q9)&gt;1,总课表!Q9,"")),"",IF(FIND($E$1,总课表!Q9)&gt;0,总课表!Q9,""))</f>
        <v/>
      </c>
      <c r="R9" s="98" t="str">
        <f>IF(ISERROR(IF(FIND($E$1,总课表!R9)&gt;1,总课表!R9,"")),"",IF(FIND($E$1,总课表!R9)&gt;0,总课表!R9,""))</f>
        <v/>
      </c>
      <c r="S9" s="98" t="str">
        <f>IF(ISERROR(IF(FIND($E$1,总课表!S9)&gt;1,总课表!S9,"")),"",IF(FIND($E$1,总课表!S9)&gt;0,总课表!S9,""))</f>
        <v/>
      </c>
      <c r="T9" s="98" t="str">
        <f>IF(ISERROR(IF(FIND($E$1,总课表!T9)&gt;1,总课表!T9,"")),"",IF(FIND($E$1,总课表!T9)&gt;0,总课表!T9,""))</f>
        <v/>
      </c>
      <c r="U9" s="98" t="str">
        <f>IF(ISERROR(IF(FIND($E$1,总课表!U9)&gt;1,总课表!U9,"")),"",IF(FIND($E$1,总课表!U9)&gt;0,总课表!U9,""))</f>
        <v/>
      </c>
    </row>
    <row r="10" spans="1:21" s="93" customFormat="1" ht="51" customHeight="1" x14ac:dyDescent="0.3">
      <c r="A10" s="99" t="s">
        <v>90</v>
      </c>
      <c r="B10" s="98" t="str">
        <f>IF(ISERROR(IF(FIND($E$1,总课表!B10)&gt;1,总课表!B10,"")),"",IF(FIND($E$1,总课表!B10)&gt;0,总课表!B10,""))</f>
        <v/>
      </c>
      <c r="C10" s="98" t="str">
        <f>IF(ISERROR(IF(FIND($E$1,总课表!C10)&gt;1,总课表!C10,"")),"",IF(FIND($E$1,总课表!C10)&gt;0,总课表!C10,""))</f>
        <v/>
      </c>
      <c r="D10" s="98" t="str">
        <f>IF(ISERROR(IF(FIND($E$1,总课表!D10)&gt;1,总课表!D10,"")),"",IF(FIND($E$1,总课表!D10)&gt;0,总课表!D10,""))</f>
        <v/>
      </c>
      <c r="E10" s="98" t="str">
        <f>IF(ISERROR(IF(FIND($E$1,总课表!E10)&gt;1,总课表!E10,"")),"",IF(FIND($E$1,总课表!E10)&gt;0,总课表!E10,""))</f>
        <v/>
      </c>
      <c r="F10" s="98" t="str">
        <f>IF(ISERROR(IF(FIND($E$1,总课表!F10)&gt;1,总课表!F10,"")),"",IF(FIND($E$1,总课表!F10)&gt;0,总课表!F10,""))</f>
        <v/>
      </c>
      <c r="G10" s="98" t="str">
        <f>IF(ISERROR(IF(FIND($E$1,总课表!G10)&gt;1,总课表!G10,"")),"",IF(FIND($E$1,总课表!G10)&gt;0,总课表!G10,""))</f>
        <v/>
      </c>
      <c r="H10" s="98" t="str">
        <f>IF(ISERROR(IF(FIND($E$1,总课表!H10)&gt;1,总课表!H10,"")),"",IF(FIND($E$1,总课表!H10)&gt;0,总课表!H10,""))</f>
        <v/>
      </c>
      <c r="I10" s="98" t="str">
        <f>IF(ISERROR(IF(FIND($E$1,总课表!I10)&gt;1,总课表!I10,"")),"",IF(FIND($E$1,总课表!I10)&gt;0,总课表!I10,""))</f>
        <v/>
      </c>
      <c r="J10" s="98" t="str">
        <f>IF(ISERROR(IF(FIND($E$1,总课表!J10)&gt;1,总课表!J10,"")),"",IF(FIND($E$1,总课表!J10)&gt;0,总课表!J10,""))</f>
        <v/>
      </c>
      <c r="K10" s="98" t="str">
        <f>IF(ISERROR(IF(FIND($E$1,总课表!K10)&gt;1,总课表!K10,"")),"",IF(FIND($E$1,总课表!K10)&gt;0,总课表!K10,""))</f>
        <v/>
      </c>
      <c r="L10" s="98" t="str">
        <f>IF(ISERROR(IF(FIND($E$1,总课表!L10)&gt;1,总课表!L10,"")),"",IF(FIND($E$1,总课表!L10)&gt;0,总课表!L10,""))</f>
        <v/>
      </c>
      <c r="M10" s="98" t="str">
        <f>IF(ISERROR(IF(FIND($E$1,总课表!M10)&gt;1,总课表!M10,"")),"",IF(FIND($E$1,总课表!M10)&gt;0,总课表!M10,""))</f>
        <v/>
      </c>
      <c r="N10" s="98" t="str">
        <f>IF(ISERROR(IF(FIND($E$1,总课表!N10)&gt;1,总课表!N10,"")),"",IF(FIND($E$1,总课表!N10)&gt;0,总课表!N10,""))</f>
        <v/>
      </c>
      <c r="O10" s="98" t="str">
        <f>IF(ISERROR(IF(FIND($E$1,总课表!O10)&gt;1,总课表!O10,"")),"",IF(FIND($E$1,总课表!O10)&gt;0,总课表!O10,""))</f>
        <v/>
      </c>
      <c r="P10" s="98" t="str">
        <f>IF(ISERROR(IF(FIND($E$1,总课表!P10)&gt;1,总课表!P10,"")),"",IF(FIND($E$1,总课表!P10)&gt;0,总课表!P10,""))</f>
        <v/>
      </c>
      <c r="Q10" s="98" t="str">
        <f>IF(ISERROR(IF(FIND($E$1,总课表!Q10)&gt;1,总课表!Q10,"")),"",IF(FIND($E$1,总课表!Q10)&gt;0,总课表!Q10,""))</f>
        <v/>
      </c>
      <c r="R10" s="98" t="str">
        <f>IF(ISERROR(IF(FIND($E$1,总课表!R10)&gt;1,总课表!R10,"")),"",IF(FIND($E$1,总课表!R10)&gt;0,总课表!R10,""))</f>
        <v/>
      </c>
      <c r="S10" s="98" t="str">
        <f>IF(ISERROR(IF(FIND($E$1,总课表!S10)&gt;1,总课表!S10,"")),"",IF(FIND($E$1,总课表!S10)&gt;0,总课表!S10,""))</f>
        <v/>
      </c>
      <c r="T10" s="98" t="str">
        <f>IF(ISERROR(IF(FIND($E$1,总课表!T10)&gt;1,总课表!T10,"")),"",IF(FIND($E$1,总课表!T10)&gt;0,总课表!T10,""))</f>
        <v/>
      </c>
      <c r="U10" s="98" t="str">
        <f>IF(ISERROR(IF(FIND($E$1,总课表!U10)&gt;1,总课表!U10,"")),"",IF(FIND($E$1,总课表!U10)&gt;0,总课表!U10,""))</f>
        <v/>
      </c>
    </row>
    <row r="11" spans="1:21" s="93" customFormat="1" ht="63" customHeight="1" x14ac:dyDescent="0.3">
      <c r="A11" s="99" t="s">
        <v>103</v>
      </c>
      <c r="B11" s="98" t="str">
        <f>IF(ISERROR(IF(FIND($E$1,总课表!B11)&gt;1,总课表!B11,"")),"",IF(FIND($E$1,总课表!B11)&gt;0,总课表!B11,""))</f>
        <v/>
      </c>
      <c r="C11" s="98" t="str">
        <f>IF(ISERROR(IF(FIND($E$1,总课表!C11)&gt;1,总课表!C11,"")),"",IF(FIND($E$1,总课表!C11)&gt;0,总课表!C11,""))</f>
        <v/>
      </c>
      <c r="D11" s="98" t="str">
        <f>IF(ISERROR(IF(FIND($E$1,总课表!D11)&gt;1,总课表!D11,"")),"",IF(FIND($E$1,总课表!D11)&gt;0,总课表!D11,""))</f>
        <v/>
      </c>
      <c r="E11" s="98" t="str">
        <f>IF(ISERROR(IF(FIND($E$1,总课表!E11)&gt;1,总课表!E11,"")),"",IF(FIND($E$1,总课表!E11)&gt;0,总课表!E11,""))</f>
        <v/>
      </c>
      <c r="F11" s="98" t="str">
        <f>IF(ISERROR(IF(FIND($E$1,总课表!F11)&gt;1,总课表!F11,"")),"",IF(FIND($E$1,总课表!F11)&gt;0,总课表!F11,""))</f>
        <v/>
      </c>
      <c r="G11" s="98" t="str">
        <f>IF(ISERROR(IF(FIND($E$1,总课表!G11)&gt;1,总课表!G11,"")),"",IF(FIND($E$1,总课表!G11)&gt;0,总课表!G11,""))</f>
        <v/>
      </c>
      <c r="H11" s="98" t="str">
        <f>IF(ISERROR(IF(FIND($E$1,总课表!H11)&gt;1,总课表!H11,"")),"",IF(FIND($E$1,总课表!H11)&gt;0,总课表!H11,""))</f>
        <v/>
      </c>
      <c r="I11" s="98" t="str">
        <f>IF(ISERROR(IF(FIND($E$1,总课表!I11)&gt;1,总课表!I11,"")),"",IF(FIND($E$1,总课表!I11)&gt;0,总课表!I11,""))</f>
        <v/>
      </c>
      <c r="J11" s="98" t="str">
        <f>IF(ISERROR(IF(FIND($E$1,总课表!J11)&gt;1,总课表!J11,"")),"",IF(FIND($E$1,总课表!J11)&gt;0,总课表!J11,""))</f>
        <v/>
      </c>
      <c r="K11" s="98" t="str">
        <f>IF(ISERROR(IF(FIND($E$1,总课表!K11)&gt;1,总课表!K11,"")),"",IF(FIND($E$1,总课表!K11)&gt;0,总课表!K11,""))</f>
        <v/>
      </c>
      <c r="L11" s="98" t="str">
        <f>IF(ISERROR(IF(FIND($E$1,总课表!L11)&gt;1,总课表!L11,"")),"",IF(FIND($E$1,总课表!L11)&gt;0,总课表!L11,""))</f>
        <v/>
      </c>
      <c r="M11" s="98" t="str">
        <f>IF(ISERROR(IF(FIND($E$1,总课表!M11)&gt;1,总课表!M11,"")),"",IF(FIND($E$1,总课表!M11)&gt;0,总课表!M11,""))</f>
        <v/>
      </c>
      <c r="N11" s="98" t="str">
        <f>IF(ISERROR(IF(FIND($E$1,总课表!N11)&gt;1,总课表!N11,"")),"",IF(FIND($E$1,总课表!N11)&gt;0,总课表!N11,""))</f>
        <v/>
      </c>
      <c r="O11" s="98" t="str">
        <f>IF(ISERROR(IF(FIND($E$1,总课表!O11)&gt;1,总课表!O11,"")),"",IF(FIND($E$1,总课表!O11)&gt;0,总课表!O11,""))</f>
        <v/>
      </c>
      <c r="P11" s="98" t="str">
        <f>IF(ISERROR(IF(FIND($E$1,总课表!P11)&gt;1,总课表!P11,"")),"",IF(FIND($E$1,总课表!P11)&gt;0,总课表!P11,""))</f>
        <v/>
      </c>
      <c r="Q11" s="98" t="str">
        <f>IF(ISERROR(IF(FIND($E$1,总课表!Q11)&gt;1,总课表!Q11,"")),"",IF(FIND($E$1,总课表!Q11)&gt;0,总课表!Q11,""))</f>
        <v/>
      </c>
      <c r="R11" s="98" t="str">
        <f>IF(ISERROR(IF(FIND($E$1,总课表!R11)&gt;1,总课表!R11,"")),"",IF(FIND($E$1,总课表!R11)&gt;0,总课表!R11,""))</f>
        <v/>
      </c>
      <c r="S11" s="98" t="str">
        <f>IF(ISERROR(IF(FIND($E$1,总课表!S11)&gt;1,总课表!S11,"")),"",IF(FIND($E$1,总课表!S11)&gt;0,总课表!S11,""))</f>
        <v/>
      </c>
      <c r="T11" s="98" t="str">
        <f>IF(ISERROR(IF(FIND($E$1,总课表!T11)&gt;1,总课表!T11,"")),"",IF(FIND($E$1,总课表!T11)&gt;0,总课表!T11,""))</f>
        <v/>
      </c>
      <c r="U11" s="98" t="str">
        <f>IF(ISERROR(IF(FIND($E$1,总课表!U11)&gt;1,总课表!U11,"")),"",IF(FIND($E$1,总课表!U11)&gt;0,总课表!U11,""))</f>
        <v/>
      </c>
    </row>
    <row r="12" spans="1:21" s="93" customFormat="1" ht="51" customHeight="1" x14ac:dyDescent="0.3">
      <c r="A12" s="99" t="s">
        <v>115</v>
      </c>
      <c r="B12" s="98" t="str">
        <f>IF(ISERROR(IF(FIND($E$1,总课表!B12)&gt;1,总课表!B12,"")),"",IF(FIND($E$1,总课表!B12)&gt;0,总课表!B12,""))</f>
        <v/>
      </c>
      <c r="C12" s="98" t="str">
        <f>IF(ISERROR(IF(FIND($E$1,总课表!C12)&gt;1,总课表!C12,"")),"",IF(FIND($E$1,总课表!C12)&gt;0,总课表!C12,""))</f>
        <v/>
      </c>
      <c r="D12" s="98" t="str">
        <f>IF(ISERROR(IF(FIND($E$1,总课表!D12)&gt;1,总课表!D12,"")),"",IF(FIND($E$1,总课表!D12)&gt;0,总课表!D12,""))</f>
        <v/>
      </c>
      <c r="E12" s="98" t="str">
        <f>IF(ISERROR(IF(FIND($E$1,总课表!E12)&gt;1,总课表!E12,"")),"",IF(FIND($E$1,总课表!E12)&gt;0,总课表!E12,""))</f>
        <v/>
      </c>
      <c r="F12" s="98" t="str">
        <f>IF(ISERROR(IF(FIND($E$1,总课表!F12)&gt;1,总课表!F12,"")),"",IF(FIND($E$1,总课表!F12)&gt;0,总课表!F12,""))</f>
        <v/>
      </c>
      <c r="G12" s="98" t="str">
        <f>IF(ISERROR(IF(FIND($E$1,总课表!G12)&gt;1,总课表!G12,"")),"",IF(FIND($E$1,总课表!G12)&gt;0,总课表!G12,""))</f>
        <v/>
      </c>
      <c r="H12" s="98" t="str">
        <f>IF(ISERROR(IF(FIND($E$1,总课表!H12)&gt;1,总课表!H12,"")),"",IF(FIND($E$1,总课表!H12)&gt;0,总课表!H12,""))</f>
        <v/>
      </c>
      <c r="I12" s="98" t="str">
        <f>IF(ISERROR(IF(FIND($E$1,总课表!I12)&gt;1,总课表!I12,"")),"",IF(FIND($E$1,总课表!I12)&gt;0,总课表!I12,""))</f>
        <v/>
      </c>
      <c r="J12" s="98" t="str">
        <f>IF(ISERROR(IF(FIND($E$1,总课表!J12)&gt;1,总课表!J12,"")),"",IF(FIND($E$1,总课表!J12)&gt;0,总课表!J12,""))</f>
        <v/>
      </c>
      <c r="K12" s="98" t="str">
        <f>IF(ISERROR(IF(FIND($E$1,总课表!K12)&gt;1,总课表!K12,"")),"",IF(FIND($E$1,总课表!K12)&gt;0,总课表!K12,""))</f>
        <v/>
      </c>
      <c r="L12" s="98" t="str">
        <f>IF(ISERROR(IF(FIND($E$1,总课表!L12)&gt;1,总课表!L12,"")),"",IF(FIND($E$1,总课表!L12)&gt;0,总课表!L12,""))</f>
        <v/>
      </c>
      <c r="M12" s="98" t="str">
        <f>IF(ISERROR(IF(FIND($E$1,总课表!M12)&gt;1,总课表!M12,"")),"",IF(FIND($E$1,总课表!M12)&gt;0,总课表!M12,""))</f>
        <v/>
      </c>
      <c r="N12" s="98" t="str">
        <f>IF(ISERROR(IF(FIND($E$1,总课表!N12)&gt;1,总课表!N12,"")),"",IF(FIND($E$1,总课表!N12)&gt;0,总课表!N12,""))</f>
        <v/>
      </c>
      <c r="O12" s="98" t="str">
        <f>IF(ISERROR(IF(FIND($E$1,总课表!O12)&gt;1,总课表!O12,"")),"",IF(FIND($E$1,总课表!O12)&gt;0,总课表!O12,""))</f>
        <v/>
      </c>
      <c r="P12" s="98" t="str">
        <f>IF(ISERROR(IF(FIND($E$1,总课表!P12)&gt;1,总课表!P12,"")),"",IF(FIND($E$1,总课表!P12)&gt;0,总课表!P12,""))</f>
        <v/>
      </c>
      <c r="Q12" s="98" t="str">
        <f>IF(ISERROR(IF(FIND($E$1,总课表!Q12)&gt;1,总课表!Q12,"")),"",IF(FIND($E$1,总课表!Q12)&gt;0,总课表!Q12,""))</f>
        <v/>
      </c>
      <c r="R12" s="98" t="str">
        <f>IF(ISERROR(IF(FIND($E$1,总课表!R12)&gt;1,总课表!R12,"")),"",IF(FIND($E$1,总课表!R12)&gt;0,总课表!R12,""))</f>
        <v/>
      </c>
      <c r="S12" s="98" t="str">
        <f>IF(ISERROR(IF(FIND($E$1,总课表!S12)&gt;1,总课表!S12,"")),"",IF(FIND($E$1,总课表!S12)&gt;0,总课表!S12,""))</f>
        <v/>
      </c>
      <c r="T12" s="98" t="str">
        <f>IF(ISERROR(IF(FIND($E$1,总课表!T12)&gt;1,总课表!T12,"")),"",IF(FIND($E$1,总课表!T12)&gt;0,总课表!T12,""))</f>
        <v/>
      </c>
      <c r="U12" s="98" t="str">
        <f>IF(ISERROR(IF(FIND($E$1,总课表!U12)&gt;1,总课表!U12,"")),"",IF(FIND($E$1,总课表!U12)&gt;0,总课表!U12,""))</f>
        <v/>
      </c>
    </row>
    <row r="13" spans="1:21" s="93" customFormat="1" ht="51" customHeight="1" x14ac:dyDescent="0.3">
      <c r="A13" s="99" t="s">
        <v>127</v>
      </c>
      <c r="B13" s="98" t="str">
        <f>IF(ISERROR(IF(FIND($E$1,总课表!B13)&gt;1,总课表!B13,"")),"",IF(FIND($E$1,总课表!B13)&gt;0,总课表!B13,""))</f>
        <v/>
      </c>
      <c r="C13" s="98" t="str">
        <f>IF(ISERROR(IF(FIND($E$1,总课表!C13)&gt;1,总课表!C13,"")),"",IF(FIND($E$1,总课表!C13)&gt;0,总课表!C13,""))</f>
        <v/>
      </c>
      <c r="D13" s="98" t="str">
        <f>IF(ISERROR(IF(FIND($E$1,总课表!D13)&gt;1,总课表!D13,"")),"",IF(FIND($E$1,总课表!D13)&gt;0,总课表!D13,""))</f>
        <v/>
      </c>
      <c r="E13" s="98" t="str">
        <f>IF(ISERROR(IF(FIND($E$1,总课表!E13)&gt;1,总课表!E13,"")),"",IF(FIND($E$1,总课表!E13)&gt;0,总课表!E13,""))</f>
        <v/>
      </c>
      <c r="F13" s="98" t="str">
        <f>IF(ISERROR(IF(FIND($E$1,总课表!F13)&gt;1,总课表!F13,"")),"",IF(FIND($E$1,总课表!F13)&gt;0,总课表!F13,""))</f>
        <v/>
      </c>
      <c r="G13" s="98" t="str">
        <f>IF(ISERROR(IF(FIND($E$1,总课表!G13)&gt;1,总课表!G13,"")),"",IF(FIND($E$1,总课表!G13)&gt;0,总课表!G13,""))</f>
        <v/>
      </c>
      <c r="H13" s="98" t="str">
        <f>IF(ISERROR(IF(FIND($E$1,总课表!H13)&gt;1,总课表!H13,"")),"",IF(FIND($E$1,总课表!H13)&gt;0,总课表!H13,""))</f>
        <v/>
      </c>
      <c r="I13" s="98" t="str">
        <f>IF(ISERROR(IF(FIND($E$1,总课表!I13)&gt;1,总课表!I13,"")),"",IF(FIND($E$1,总课表!I13)&gt;0,总课表!I13,""))</f>
        <v/>
      </c>
      <c r="J13" s="98" t="str">
        <f>IF(ISERROR(IF(FIND($E$1,总课表!J13)&gt;1,总课表!J13,"")),"",IF(FIND($E$1,总课表!J13)&gt;0,总课表!J13,""))</f>
        <v/>
      </c>
      <c r="K13" s="98" t="str">
        <f>IF(ISERROR(IF(FIND($E$1,总课表!K13)&gt;1,总课表!K13,"")),"",IF(FIND($E$1,总课表!K13)&gt;0,总课表!K13,""))</f>
        <v>WEB前端开发
李星
践行楼201</v>
      </c>
      <c r="L13" s="98" t="str">
        <f>IF(ISERROR(IF(FIND($E$1,总课表!L13)&gt;1,总课表!L13,"")),"",IF(FIND($E$1,总课表!L13)&gt;0,总课表!L13,""))</f>
        <v/>
      </c>
      <c r="M13" s="98" t="str">
        <f>IF(ISERROR(IF(FIND($E$1,总课表!M13)&gt;1,总课表!M13,"")),"",IF(FIND($E$1,总课表!M13)&gt;0,总课表!M13,""))</f>
        <v/>
      </c>
      <c r="N13" s="98" t="str">
        <f>IF(ISERROR(IF(FIND($E$1,总课表!N13)&gt;1,总课表!N13,"")),"",IF(FIND($E$1,总课表!N13)&gt;0,总课表!N13,""))</f>
        <v/>
      </c>
      <c r="O13" s="98" t="str">
        <f>IF(ISERROR(IF(FIND($E$1,总课表!O13)&gt;1,总课表!O13,"")),"",IF(FIND($E$1,总课表!O13)&gt;0,总课表!O13,""))</f>
        <v/>
      </c>
      <c r="P13" s="98" t="str">
        <f>IF(ISERROR(IF(FIND($E$1,总课表!P13)&gt;1,总课表!P13,"")),"",IF(FIND($E$1,总课表!P13)&gt;0,总课表!P13,""))</f>
        <v>WEB前端开发
李星
★机房301</v>
      </c>
      <c r="Q13" s="98" t="str">
        <f>IF(ISERROR(IF(FIND($E$1,总课表!Q13)&gt;1,总课表!Q13,"")),"",IF(FIND($E$1,总课表!Q13)&gt;0,总课表!Q13,""))</f>
        <v>李星
践行楼201</v>
      </c>
      <c r="R13" s="98" t="str">
        <f>IF(ISERROR(IF(FIND($E$1,总课表!R13)&gt;1,总课表!R13,"")),"",IF(FIND($E$1,总课表!R13)&gt;0,总课表!R13,""))</f>
        <v/>
      </c>
      <c r="S13" s="98" t="str">
        <f>IF(ISERROR(IF(FIND($E$1,总课表!S13)&gt;1,总课表!S13,"")),"",IF(FIND($E$1,总课表!S13)&gt;0,总课表!S13,""))</f>
        <v/>
      </c>
      <c r="T13" s="98" t="str">
        <f>IF(ISERROR(IF(FIND($E$1,总课表!T13)&gt;1,总课表!T13,"")),"",IF(FIND($E$1,总课表!T13)&gt;0,总课表!T13,""))</f>
        <v/>
      </c>
      <c r="U13" s="98" t="str">
        <f>IF(ISERROR(IF(FIND($E$1,总课表!U13)&gt;1,总课表!U13,"")),"",IF(FIND($E$1,总课表!U13)&gt;0,总课表!U13,""))</f>
        <v/>
      </c>
    </row>
    <row r="14" spans="1:21" s="93" customFormat="1" ht="51" customHeight="1" x14ac:dyDescent="0.3">
      <c r="A14" s="99" t="s">
        <v>143</v>
      </c>
      <c r="B14" s="98" t="str">
        <f>IF(ISERROR(IF(FIND($E$1,总课表!B14)&gt;1,总课表!B14,"")),"",IF(FIND($E$1,总课表!B14)&gt;0,总课表!B14,""))</f>
        <v/>
      </c>
      <c r="C14" s="98" t="str">
        <f>IF(ISERROR(IF(FIND($E$1,总课表!C14)&gt;1,总课表!C14,"")),"",IF(FIND($E$1,总课表!C14)&gt;0,总课表!C14,""))</f>
        <v/>
      </c>
      <c r="D14" s="98" t="str">
        <f>IF(ISERROR(IF(FIND($E$1,总课表!D14)&gt;1,总课表!D14,"")),"",IF(FIND($E$1,总课表!D14)&gt;0,总课表!D14,""))</f>
        <v/>
      </c>
      <c r="E14" s="98" t="str">
        <f>IF(ISERROR(IF(FIND($E$1,总课表!E14)&gt;1,总课表!E14,"")),"",IF(FIND($E$1,总课表!E14)&gt;0,总课表!E14,""))</f>
        <v/>
      </c>
      <c r="F14" s="98" t="str">
        <f>IF(ISERROR(IF(FIND($E$1,总课表!F14)&gt;1,总课表!F14,"")),"",IF(FIND($E$1,总课表!F14)&gt;0,总课表!F14,""))</f>
        <v/>
      </c>
      <c r="G14" s="98" t="str">
        <f>IF(ISERROR(IF(FIND($E$1,总课表!G14)&gt;1,总课表!G14,"")),"",IF(FIND($E$1,总课表!G14)&gt;0,总课表!G14,""))</f>
        <v/>
      </c>
      <c r="H14" s="98" t="str">
        <f>IF(ISERROR(IF(FIND($E$1,总课表!H14)&gt;1,总课表!H14,"")),"",IF(FIND($E$1,总课表!H14)&gt;0,总课表!H14,""))</f>
        <v/>
      </c>
      <c r="I14" s="98" t="str">
        <f>IF(ISERROR(IF(FIND($E$1,总课表!I14)&gt;1,总课表!I14,"")),"",IF(FIND($E$1,总课表!I14)&gt;0,总课表!I14,""))</f>
        <v/>
      </c>
      <c r="J14" s="98" t="str">
        <f>IF(ISERROR(IF(FIND($E$1,总课表!J14)&gt;1,总课表!J14,"")),"",IF(FIND($E$1,总课表!J14)&gt;0,总课表!J14,""))</f>
        <v/>
      </c>
      <c r="K14" s="98" t="str">
        <f>IF(ISERROR(IF(FIND($E$1,总课表!K14)&gt;1,总课表!K14,"")),"",IF(FIND($E$1,总课表!K14)&gt;0,总课表!K14,""))</f>
        <v/>
      </c>
      <c r="L14" s="98" t="str">
        <f>IF(ISERROR(IF(FIND($E$1,总课表!L14)&gt;1,总课表!L14,"")),"",IF(FIND($E$1,总课表!L14)&gt;0,总课表!L14,""))</f>
        <v>WEB前端开发
李星
践行楼202</v>
      </c>
      <c r="M14" s="98" t="str">
        <f>IF(ISERROR(IF(FIND($E$1,总课表!M14)&gt;1,总课表!M14,"")),"",IF(FIND($E$1,总课表!M14)&gt;0,总课表!M14,""))</f>
        <v>李星
践行楼202</v>
      </c>
      <c r="N14" s="98" t="str">
        <f>IF(ISERROR(IF(FIND($E$1,总课表!N14)&gt;1,总课表!N14,"")),"",IF(FIND($E$1,总课表!N14)&gt;0,总课表!N14,""))</f>
        <v/>
      </c>
      <c r="O14" s="98" t="str">
        <f>IF(ISERROR(IF(FIND($E$1,总课表!O14)&gt;1,总课表!O14,"")),"",IF(FIND($E$1,总课表!O14)&gt;0,总课表!O14,""))</f>
        <v/>
      </c>
      <c r="P14" s="98" t="str">
        <f>IF(ISERROR(IF(FIND($E$1,总课表!P14)&gt;1,总课表!P14,"")),"",IF(FIND($E$1,总课表!P14)&gt;0,总课表!P14,""))</f>
        <v/>
      </c>
      <c r="Q14" s="98" t="str">
        <f>IF(ISERROR(IF(FIND($E$1,总课表!Q14)&gt;1,总课表!Q14,"")),"",IF(FIND($E$1,总课表!Q14)&gt;0,总课表!Q14,""))</f>
        <v/>
      </c>
      <c r="R14" s="98" t="str">
        <f>IF(ISERROR(IF(FIND($E$1,总课表!R14)&gt;1,总课表!R14,"")),"",IF(FIND($E$1,总课表!R14)&gt;0,总课表!R14,""))</f>
        <v>WEB前端开发
李星
★机房301</v>
      </c>
      <c r="S14" s="98" t="str">
        <f>IF(ISERROR(IF(FIND($E$1,总课表!S14)&gt;1,总课表!S14,"")),"",IF(FIND($E$1,总课表!S14)&gt;0,总课表!S14,""))</f>
        <v/>
      </c>
      <c r="T14" s="98" t="str">
        <f>IF(ISERROR(IF(FIND($E$1,总课表!T14)&gt;1,总课表!T14,"")),"",IF(FIND($E$1,总课表!T14)&gt;0,总课表!T14,""))</f>
        <v/>
      </c>
      <c r="U14" s="98" t="str">
        <f>IF(ISERROR(IF(FIND($E$1,总课表!U14)&gt;1,总课表!U14,"")),"",IF(FIND($E$1,总课表!U14)&gt;0,总课表!U14,""))</f>
        <v/>
      </c>
    </row>
    <row r="15" spans="1:21" s="93" customFormat="1" ht="51" customHeight="1" x14ac:dyDescent="0.3">
      <c r="A15" s="99" t="s">
        <v>156</v>
      </c>
      <c r="B15" s="98" t="str">
        <f>IF(ISERROR(IF(FIND($E$1,总课表!B15)&gt;1,总课表!B15,"")),"",IF(FIND($E$1,总课表!B15)&gt;0,总课表!B15,""))</f>
        <v/>
      </c>
      <c r="C15" s="98" t="str">
        <f>IF(ISERROR(IF(FIND($E$1,总课表!C15)&gt;1,总课表!C15,"")),"",IF(FIND($E$1,总课表!C15)&gt;0,总课表!C15,""))</f>
        <v/>
      </c>
      <c r="D15" s="98" t="str">
        <f>IF(ISERROR(IF(FIND($E$1,总课表!D15)&gt;1,总课表!D15,"")),"",IF(FIND($E$1,总课表!D15)&gt;0,总课表!D15,""))</f>
        <v/>
      </c>
      <c r="E15" s="98" t="str">
        <f>IF(ISERROR(IF(FIND($E$1,总课表!E15)&gt;1,总课表!E15,"")),"",IF(FIND($E$1,总课表!E15)&gt;0,总课表!E15,""))</f>
        <v/>
      </c>
      <c r="F15" s="98" t="str">
        <f>IF(ISERROR(IF(FIND($E$1,总课表!F15)&gt;1,总课表!F15,"")),"",IF(FIND($E$1,总课表!F15)&gt;0,总课表!F15,""))</f>
        <v/>
      </c>
      <c r="G15" s="98" t="str">
        <f>IF(ISERROR(IF(FIND($E$1,总课表!G15)&gt;1,总课表!G15,"")),"",IF(FIND($E$1,总课表!G15)&gt;0,总课表!G15,""))</f>
        <v/>
      </c>
      <c r="H15" s="98" t="str">
        <f>IF(ISERROR(IF(FIND($E$1,总课表!H15)&gt;1,总课表!H15,"")),"",IF(FIND($E$1,总课表!H15)&gt;0,总课表!H15,""))</f>
        <v/>
      </c>
      <c r="I15" s="98" t="str">
        <f>IF(ISERROR(IF(FIND($E$1,总课表!I15)&gt;1,总课表!I15,"")),"",IF(FIND($E$1,总课表!I15)&gt;0,总课表!I15,""))</f>
        <v/>
      </c>
      <c r="J15" s="98" t="str">
        <f>IF(ISERROR(IF(FIND($E$1,总课表!J15)&gt;1,总课表!J15,"")),"",IF(FIND($E$1,总课表!J15)&gt;0,总课表!J15,""))</f>
        <v/>
      </c>
      <c r="K15" s="98" t="str">
        <f>IF(ISERROR(IF(FIND($E$1,总课表!K15)&gt;1,总课表!K15,"")),"",IF(FIND($E$1,总课表!K15)&gt;0,总课表!K15,""))</f>
        <v/>
      </c>
      <c r="L15" s="98" t="str">
        <f>IF(ISERROR(IF(FIND($E$1,总课表!L15)&gt;1,总课表!L15,"")),"",IF(FIND($E$1,总课表!L15)&gt;0,总课表!L15,""))</f>
        <v/>
      </c>
      <c r="M15" s="98" t="str">
        <f>IF(ISERROR(IF(FIND($E$1,总课表!M15)&gt;1,总课表!M15,"")),"",IF(FIND($E$1,总课表!M15)&gt;0,总课表!M15,""))</f>
        <v/>
      </c>
      <c r="N15" s="98" t="str">
        <f>IF(ISERROR(IF(FIND($E$1,总课表!N15)&gt;1,总课表!N15,"")),"",IF(FIND($E$1,总课表!N15)&gt;0,总课表!N15,""))</f>
        <v/>
      </c>
      <c r="O15" s="98" t="str">
        <f>IF(ISERROR(IF(FIND($E$1,总课表!O15)&gt;1,总课表!O15,"")),"",IF(FIND($E$1,总课表!O15)&gt;0,总课表!O15,""))</f>
        <v>WEB前端开发
李星
践行楼102</v>
      </c>
      <c r="P15" s="98" t="str">
        <f>IF(ISERROR(IF(FIND($E$1,总课表!P15)&gt;1,总课表!P15,"")),"",IF(FIND($E$1,总课表!P15)&gt;0,总课表!P15,""))</f>
        <v/>
      </c>
      <c r="Q15" s="98" t="str">
        <f>IF(ISERROR(IF(FIND($E$1,总课表!Q15)&gt;1,总课表!Q15,"")),"",IF(FIND($E$1,总课表!Q15)&gt;0,总课表!Q15,""))</f>
        <v/>
      </c>
      <c r="R15" s="98" t="str">
        <f>IF(ISERROR(IF(FIND($E$1,总课表!R15)&gt;1,总课表!R15,"")),"",IF(FIND($E$1,总课表!R15)&gt;0,总课表!R15,""))</f>
        <v/>
      </c>
      <c r="S15" s="98" t="str">
        <f>IF(ISERROR(IF(FIND($E$1,总课表!S15)&gt;1,总课表!S15,"")),"",IF(FIND($E$1,总课表!S15)&gt;0,总课表!S15,""))</f>
        <v>WEB前端开发
李星
★机房301</v>
      </c>
      <c r="T15" s="98" t="str">
        <f>IF(ISERROR(IF(FIND($E$1,总课表!T15)&gt;1,总课表!T15,"")),"",IF(FIND($E$1,总课表!T15)&gt;0,总课表!T15,""))</f>
        <v/>
      </c>
      <c r="U15" s="98" t="str">
        <f>IF(ISERROR(IF(FIND($E$1,总课表!U15)&gt;1,总课表!U15,"")),"",IF(FIND($E$1,总课表!U15)&gt;0,总课表!U15,""))</f>
        <v/>
      </c>
    </row>
    <row r="16" spans="1:21" s="93" customFormat="1" ht="51" customHeight="1" x14ac:dyDescent="0.3">
      <c r="A16" s="99" t="s">
        <v>167</v>
      </c>
      <c r="B16" s="98" t="str">
        <f>IF(ISERROR(IF(FIND($E$1,总课表!B16)&gt;1,总课表!B16,"")),"",IF(FIND($E$1,总课表!B16)&gt;0,总课表!B16,""))</f>
        <v/>
      </c>
      <c r="C16" s="98" t="str">
        <f>IF(ISERROR(IF(FIND($E$1,总课表!C16)&gt;1,总课表!C16,"")),"",IF(FIND($E$1,总课表!C16)&gt;0,总课表!C16,""))</f>
        <v/>
      </c>
      <c r="D16" s="98" t="str">
        <f>IF(ISERROR(IF(FIND($E$1,总课表!D16)&gt;1,总课表!D16,"")),"",IF(FIND($E$1,总课表!D16)&gt;0,总课表!D16,""))</f>
        <v/>
      </c>
      <c r="E16" s="98" t="str">
        <f>IF(ISERROR(IF(FIND($E$1,总课表!E16)&gt;1,总课表!E16,"")),"",IF(FIND($E$1,总课表!E16)&gt;0,总课表!E16,""))</f>
        <v/>
      </c>
      <c r="F16" s="98" t="str">
        <f>IF(ISERROR(IF(FIND($E$1,总课表!F16)&gt;1,总课表!F16,"")),"",IF(FIND($E$1,总课表!F16)&gt;0,总课表!F16,""))</f>
        <v/>
      </c>
      <c r="G16" s="98" t="str">
        <f>IF(ISERROR(IF(FIND($E$1,总课表!G16)&gt;1,总课表!G16,"")),"",IF(FIND($E$1,总课表!G16)&gt;0,总课表!G16,""))</f>
        <v/>
      </c>
      <c r="H16" s="98" t="str">
        <f>IF(ISERROR(IF(FIND($E$1,总课表!H16)&gt;1,总课表!H16,"")),"",IF(FIND($E$1,总课表!H16)&gt;0,总课表!H16,""))</f>
        <v/>
      </c>
      <c r="I16" s="98" t="str">
        <f>IF(ISERROR(IF(FIND($E$1,总课表!I16)&gt;1,总课表!I16,"")),"",IF(FIND($E$1,总课表!I16)&gt;0,总课表!I16,""))</f>
        <v/>
      </c>
      <c r="J16" s="98" t="str">
        <f>IF(ISERROR(IF(FIND($E$1,总课表!J16)&gt;1,总课表!J16,"")),"",IF(FIND($E$1,总课表!J16)&gt;0,总课表!J16,""))</f>
        <v/>
      </c>
      <c r="K16" s="98" t="str">
        <f>IF(ISERROR(IF(FIND($E$1,总课表!K16)&gt;1,总课表!K16,"")),"",IF(FIND($E$1,总课表!K16)&gt;0,总课表!K16,""))</f>
        <v/>
      </c>
      <c r="L16" s="98" t="str">
        <f>IF(ISERROR(IF(FIND($E$1,总课表!L16)&gt;1,总课表!L16,"")),"",IF(FIND($E$1,总课表!L16)&gt;0,总课表!L16,""))</f>
        <v/>
      </c>
      <c r="M16" s="98" t="str">
        <f>IF(ISERROR(IF(FIND($E$1,总课表!M16)&gt;1,总课表!M16,"")),"",IF(FIND($E$1,总课表!M16)&gt;0,总课表!M16,""))</f>
        <v/>
      </c>
      <c r="N16" s="98" t="str">
        <f>IF(ISERROR(IF(FIND($E$1,总课表!N16)&gt;1,总课表!N16,"")),"",IF(FIND($E$1,总课表!N16)&gt;0,总课表!N16,""))</f>
        <v/>
      </c>
      <c r="O16" s="98" t="str">
        <f>IF(ISERROR(IF(FIND($E$1,总课表!O16)&gt;1,总课表!O16,"")),"",IF(FIND($E$1,总课表!O16)&gt;0,总课表!O16,""))</f>
        <v/>
      </c>
      <c r="P16" s="98" t="str">
        <f>IF(ISERROR(IF(FIND($E$1,总课表!P16)&gt;1,总课表!P16,"")),"",IF(FIND($E$1,总课表!P16)&gt;0,总课表!P16,""))</f>
        <v/>
      </c>
      <c r="Q16" s="98" t="str">
        <f>IF(ISERROR(IF(FIND($E$1,总课表!Q16)&gt;1,总课表!Q16,"")),"",IF(FIND($E$1,总课表!Q16)&gt;0,总课表!Q16,""))</f>
        <v/>
      </c>
      <c r="R16" s="98" t="str">
        <f>IF(ISERROR(IF(FIND($E$1,总课表!R16)&gt;1,总课表!R16,"")),"",IF(FIND($E$1,总课表!R16)&gt;0,总课表!R16,""))</f>
        <v/>
      </c>
      <c r="S16" s="98" t="str">
        <f>IF(ISERROR(IF(FIND($E$1,总课表!S16)&gt;1,总课表!S16,"")),"",IF(FIND($E$1,总课表!S16)&gt;0,总课表!S16,""))</f>
        <v/>
      </c>
      <c r="T16" s="98" t="str">
        <f>IF(ISERROR(IF(FIND($E$1,总课表!T16)&gt;1,总课表!T16,"")),"",IF(FIND($E$1,总课表!T16)&gt;0,总课表!T16,""))</f>
        <v/>
      </c>
      <c r="U16" s="98" t="str">
        <f>IF(ISERROR(IF(FIND($E$1,总课表!U16)&gt;1,总课表!U16,"")),"",IF(FIND($E$1,总课表!U16)&gt;0,总课表!U16,""))</f>
        <v/>
      </c>
    </row>
    <row r="17" spans="1:21" ht="51" customHeight="1" x14ac:dyDescent="0.25">
      <c r="A17" s="100" t="s">
        <v>178</v>
      </c>
      <c r="B17" s="98" t="str">
        <f>IF(ISERROR(IF(FIND($E$1,总课表!B17)&gt;1,总课表!B17,"")),"",IF(FIND($E$1,总课表!B17)&gt;0,总课表!B17,""))</f>
        <v/>
      </c>
      <c r="C17" s="98" t="str">
        <f>IF(ISERROR(IF(FIND($E$1,总课表!C17)&gt;1,总课表!C17,"")),"",IF(FIND($E$1,总课表!C17)&gt;0,总课表!C17,""))</f>
        <v/>
      </c>
      <c r="D17" s="98" t="str">
        <f>IF(ISERROR(IF(FIND($E$1,总课表!D17)&gt;1,总课表!D17,"")),"",IF(FIND($E$1,总课表!D17)&gt;0,总课表!D17,""))</f>
        <v/>
      </c>
      <c r="E17" s="98" t="str">
        <f>IF(ISERROR(IF(FIND($E$1,总课表!E17)&gt;1,总课表!E17,"")),"",IF(FIND($E$1,总课表!E17)&gt;0,总课表!E17,""))</f>
        <v/>
      </c>
      <c r="F17" s="98" t="str">
        <f>IF(ISERROR(IF(FIND($E$1,总课表!F17)&gt;1,总课表!F17,"")),"",IF(FIND($E$1,总课表!F17)&gt;0,总课表!F17,""))</f>
        <v/>
      </c>
      <c r="G17" s="98" t="str">
        <f>IF(ISERROR(IF(FIND($E$1,总课表!G17)&gt;1,总课表!G17,"")),"",IF(FIND($E$1,总课表!G17)&gt;0,总课表!G17,""))</f>
        <v/>
      </c>
      <c r="H17" s="98" t="str">
        <f>IF(ISERROR(IF(FIND($E$1,总课表!H17)&gt;1,总课表!H17,"")),"",IF(FIND($E$1,总课表!H17)&gt;0,总课表!H17,""))</f>
        <v/>
      </c>
      <c r="I17" s="98" t="str">
        <f>IF(ISERROR(IF(FIND($E$1,总课表!I17)&gt;1,总课表!I17,"")),"",IF(FIND($E$1,总课表!I17)&gt;0,总课表!I17,""))</f>
        <v/>
      </c>
      <c r="J17" s="98" t="str">
        <f>IF(ISERROR(IF(FIND($E$1,总课表!J17)&gt;1,总课表!J17,"")),"",IF(FIND($E$1,总课表!J17)&gt;0,总课表!J17,""))</f>
        <v/>
      </c>
      <c r="K17" s="98" t="str">
        <f>IF(ISERROR(IF(FIND($E$1,总课表!K17)&gt;1,总课表!K17,"")),"",IF(FIND($E$1,总课表!K17)&gt;0,总课表!K17,""))</f>
        <v/>
      </c>
      <c r="L17" s="98" t="str">
        <f>IF(ISERROR(IF(FIND($E$1,总课表!L17)&gt;1,总课表!L17,"")),"",IF(FIND($E$1,总课表!L17)&gt;0,总课表!L17,""))</f>
        <v/>
      </c>
      <c r="M17" s="98" t="str">
        <f>IF(ISERROR(IF(FIND($E$1,总课表!M17)&gt;1,总课表!M17,"")),"",IF(FIND($E$1,总课表!M17)&gt;0,总课表!M17,""))</f>
        <v/>
      </c>
      <c r="N17" s="98" t="str">
        <f>IF(ISERROR(IF(FIND($E$1,总课表!N17)&gt;1,总课表!N17,"")),"",IF(FIND($E$1,总课表!N17)&gt;0,总课表!N17,""))</f>
        <v/>
      </c>
      <c r="O17" s="98" t="str">
        <f>IF(ISERROR(IF(FIND($E$1,总课表!O17)&gt;1,总课表!O17,"")),"",IF(FIND($E$1,总课表!O17)&gt;0,总课表!O17,""))</f>
        <v/>
      </c>
      <c r="P17" s="98" t="str">
        <f>IF(ISERROR(IF(FIND($E$1,总课表!P17)&gt;1,总课表!P17,"")),"",IF(FIND($E$1,总课表!P17)&gt;0,总课表!P17,""))</f>
        <v/>
      </c>
      <c r="Q17" s="98" t="str">
        <f>IF(ISERROR(IF(FIND($E$1,总课表!Q17)&gt;1,总课表!Q17,"")),"",IF(FIND($E$1,总课表!Q17)&gt;0,总课表!Q17,""))</f>
        <v/>
      </c>
      <c r="R17" s="98" t="str">
        <f>IF(ISERROR(IF(FIND($E$1,总课表!R17)&gt;1,总课表!R17,"")),"",IF(FIND($E$1,总课表!R17)&gt;0,总课表!R17,""))</f>
        <v/>
      </c>
      <c r="S17" s="98" t="str">
        <f>IF(ISERROR(IF(FIND($E$1,总课表!S17)&gt;1,总课表!S17,"")),"",IF(FIND($E$1,总课表!S17)&gt;0,总课表!S17,""))</f>
        <v/>
      </c>
      <c r="T17" s="98" t="str">
        <f>IF(ISERROR(IF(FIND($E$1,总课表!T17)&gt;1,总课表!T17,"")),"",IF(FIND($E$1,总课表!T17)&gt;0,总课表!T17,""))</f>
        <v/>
      </c>
      <c r="U17" s="98" t="str">
        <f>IF(ISERROR(IF(FIND($E$1,总课表!U17)&gt;1,总课表!U17,"")),"",IF(FIND($E$1,总课表!U17)&gt;0,总课表!U17,""))</f>
        <v/>
      </c>
    </row>
    <row r="18" spans="1:21" ht="51" customHeight="1" x14ac:dyDescent="0.25">
      <c r="A18" s="100" t="s">
        <v>196</v>
      </c>
      <c r="B18" s="98" t="str">
        <f>IF(ISERROR(IF(FIND($E$1,总课表!B18)&gt;1,总课表!B18,"")),"",IF(FIND($E$1,总课表!B18)&gt;0,总课表!B18,""))</f>
        <v/>
      </c>
      <c r="C18" s="98" t="str">
        <f>IF(ISERROR(IF(FIND($E$1,总课表!C18)&gt;1,总课表!C18,"")),"",IF(FIND($E$1,总课表!C18)&gt;0,总课表!C18,""))</f>
        <v/>
      </c>
      <c r="D18" s="98" t="str">
        <f>IF(ISERROR(IF(FIND($E$1,总课表!D18)&gt;1,总课表!D18,"")),"",IF(FIND($E$1,总课表!D18)&gt;0,总课表!D18,""))</f>
        <v/>
      </c>
      <c r="E18" s="98" t="str">
        <f>IF(ISERROR(IF(FIND($E$1,总课表!E18)&gt;1,总课表!E18,"")),"",IF(FIND($E$1,总课表!E18)&gt;0,总课表!E18,""))</f>
        <v/>
      </c>
      <c r="F18" s="98" t="str">
        <f>IF(ISERROR(IF(FIND($E$1,总课表!F18)&gt;1,总课表!F18,"")),"",IF(FIND($E$1,总课表!F18)&gt;0,总课表!F18,""))</f>
        <v/>
      </c>
      <c r="G18" s="98" t="str">
        <f>IF(ISERROR(IF(FIND($E$1,总课表!G18)&gt;1,总课表!G18,"")),"",IF(FIND($E$1,总课表!G18)&gt;0,总课表!G18,""))</f>
        <v/>
      </c>
      <c r="H18" s="98" t="str">
        <f>IF(ISERROR(IF(FIND($E$1,总课表!H18)&gt;1,总课表!H18,"")),"",IF(FIND($E$1,总课表!H18)&gt;0,总课表!H18,""))</f>
        <v/>
      </c>
      <c r="I18" s="98" t="str">
        <f>IF(ISERROR(IF(FIND($E$1,总课表!I18)&gt;1,总课表!I18,"")),"",IF(FIND($E$1,总课表!I18)&gt;0,总课表!I18,""))</f>
        <v/>
      </c>
      <c r="J18" s="98" t="str">
        <f>IF(ISERROR(IF(FIND($E$1,总课表!J18)&gt;1,总课表!J18,"")),"",IF(FIND($E$1,总课表!J18)&gt;0,总课表!J18,""))</f>
        <v/>
      </c>
      <c r="K18" s="98" t="str">
        <f>IF(ISERROR(IF(FIND($E$1,总课表!K18)&gt;1,总课表!K18,"")),"",IF(FIND($E$1,总课表!K18)&gt;0,总课表!K18,""))</f>
        <v/>
      </c>
      <c r="L18" s="98" t="str">
        <f>IF(ISERROR(IF(FIND($E$1,总课表!L18)&gt;1,总课表!L18,"")),"",IF(FIND($E$1,总课表!L18)&gt;0,总课表!L18,""))</f>
        <v/>
      </c>
      <c r="M18" s="98" t="str">
        <f>IF(ISERROR(IF(FIND($E$1,总课表!M18)&gt;1,总课表!M18,"")),"",IF(FIND($E$1,总课表!M18)&gt;0,总课表!M18,""))</f>
        <v/>
      </c>
      <c r="N18" s="98" t="str">
        <f>IF(ISERROR(IF(FIND($E$1,总课表!N18)&gt;1,总课表!N18,"")),"",IF(FIND($E$1,总课表!N18)&gt;0,总课表!N18,""))</f>
        <v/>
      </c>
      <c r="O18" s="98" t="str">
        <f>IF(ISERROR(IF(FIND($E$1,总课表!O18)&gt;1,总课表!O18,"")),"",IF(FIND($E$1,总课表!O18)&gt;0,总课表!O18,""))</f>
        <v/>
      </c>
      <c r="P18" s="98" t="str">
        <f>IF(ISERROR(IF(FIND($E$1,总课表!P18)&gt;1,总课表!P18,"")),"",IF(FIND($E$1,总课表!P18)&gt;0,总课表!P18,""))</f>
        <v/>
      </c>
      <c r="Q18" s="98" t="str">
        <f>IF(ISERROR(IF(FIND($E$1,总课表!Q18)&gt;1,总课表!Q18,"")),"",IF(FIND($E$1,总课表!Q18)&gt;0,总课表!Q18,""))</f>
        <v/>
      </c>
      <c r="R18" s="98" t="str">
        <f>IF(ISERROR(IF(FIND($E$1,总课表!R18)&gt;1,总课表!R18,"")),"",IF(FIND($E$1,总课表!R18)&gt;0,总课表!R18,""))</f>
        <v/>
      </c>
      <c r="S18" s="98" t="str">
        <f>IF(ISERROR(IF(FIND($E$1,总课表!S18)&gt;1,总课表!S18,"")),"",IF(FIND($E$1,总课表!S18)&gt;0,总课表!S18,""))</f>
        <v/>
      </c>
      <c r="T18" s="98" t="str">
        <f>IF(ISERROR(IF(FIND($E$1,总课表!T18)&gt;1,总课表!T18,"")),"",IF(FIND($E$1,总课表!T18)&gt;0,总课表!T18,""))</f>
        <v/>
      </c>
      <c r="U18" s="98" t="str">
        <f>IF(ISERROR(IF(FIND($E$1,总课表!U18)&gt;1,总课表!U18,"")),"",IF(FIND($E$1,总课表!U18)&gt;0,总课表!U18,""))</f>
        <v/>
      </c>
    </row>
    <row r="19" spans="1:21" ht="51" customHeight="1" x14ac:dyDescent="0.25">
      <c r="A19" s="100" t="s">
        <v>207</v>
      </c>
      <c r="B19" s="98" t="str">
        <f>IF(ISERROR(IF(FIND($E$1,总课表!B19)&gt;1,总课表!B19,"")),"",IF(FIND($E$1,总课表!B19)&gt;0,总课表!B19,""))</f>
        <v/>
      </c>
      <c r="C19" s="98" t="str">
        <f>IF(ISERROR(IF(FIND($E$1,总课表!C19)&gt;1,总课表!C19,"")),"",IF(FIND($E$1,总课表!C19)&gt;0,总课表!C19,""))</f>
        <v/>
      </c>
      <c r="D19" s="98" t="str">
        <f>IF(ISERROR(IF(FIND($E$1,总课表!D19)&gt;1,总课表!D19,"")),"",IF(FIND($E$1,总课表!D19)&gt;0,总课表!D19,""))</f>
        <v/>
      </c>
      <c r="E19" s="98" t="str">
        <f>IF(ISERROR(IF(FIND($E$1,总课表!E19)&gt;1,总课表!E19,"")),"",IF(FIND($E$1,总课表!E19)&gt;0,总课表!E19,""))</f>
        <v/>
      </c>
      <c r="F19" s="98" t="str">
        <f>IF(ISERROR(IF(FIND($E$1,总课表!F19)&gt;1,总课表!F19,"")),"",IF(FIND($E$1,总课表!F19)&gt;0,总课表!F19,""))</f>
        <v/>
      </c>
      <c r="G19" s="98" t="str">
        <f>IF(ISERROR(IF(FIND($E$1,总课表!G19)&gt;1,总课表!G19,"")),"",IF(FIND($E$1,总课表!G19)&gt;0,总课表!G19,""))</f>
        <v/>
      </c>
      <c r="H19" s="98" t="str">
        <f>IF(ISERROR(IF(FIND($E$1,总课表!H19)&gt;1,总课表!H19,"")),"",IF(FIND($E$1,总课表!H19)&gt;0,总课表!H19,""))</f>
        <v/>
      </c>
      <c r="I19" s="98" t="str">
        <f>IF(ISERROR(IF(FIND($E$1,总课表!I19)&gt;1,总课表!I19,"")),"",IF(FIND($E$1,总课表!I19)&gt;0,总课表!I19,""))</f>
        <v/>
      </c>
      <c r="J19" s="98" t="str">
        <f>IF(ISERROR(IF(FIND($E$1,总课表!J19)&gt;1,总课表!J19,"")),"",IF(FIND($E$1,总课表!J19)&gt;0,总课表!J19,""))</f>
        <v/>
      </c>
      <c r="K19" s="98" t="str">
        <f>IF(ISERROR(IF(FIND($E$1,总课表!K19)&gt;1,总课表!K19,"")),"",IF(FIND($E$1,总课表!K19)&gt;0,总课表!K19,""))</f>
        <v/>
      </c>
      <c r="L19" s="98" t="str">
        <f>IF(ISERROR(IF(FIND($E$1,总课表!L19)&gt;1,总课表!L19,"")),"",IF(FIND($E$1,总课表!L19)&gt;0,总课表!L19,""))</f>
        <v/>
      </c>
      <c r="M19" s="98" t="str">
        <f>IF(ISERROR(IF(FIND($E$1,总课表!M19)&gt;1,总课表!M19,"")),"",IF(FIND($E$1,总课表!M19)&gt;0,总课表!M19,""))</f>
        <v/>
      </c>
      <c r="N19" s="98" t="str">
        <f>IF(ISERROR(IF(FIND($E$1,总课表!N19)&gt;1,总课表!N19,"")),"",IF(FIND($E$1,总课表!N19)&gt;0,总课表!N19,""))</f>
        <v/>
      </c>
      <c r="O19" s="98" t="str">
        <f>IF(ISERROR(IF(FIND($E$1,总课表!O19)&gt;1,总课表!O19,"")),"",IF(FIND($E$1,总课表!O19)&gt;0,总课表!O19,""))</f>
        <v/>
      </c>
      <c r="P19" s="98" t="str">
        <f>IF(ISERROR(IF(FIND($E$1,总课表!P19)&gt;1,总课表!P19,"")),"",IF(FIND($E$1,总课表!P19)&gt;0,总课表!P19,""))</f>
        <v/>
      </c>
      <c r="Q19" s="98" t="str">
        <f>IF(ISERROR(IF(FIND($E$1,总课表!Q19)&gt;1,总课表!Q19,"")),"",IF(FIND($E$1,总课表!Q19)&gt;0,总课表!Q19,""))</f>
        <v/>
      </c>
      <c r="R19" s="98" t="str">
        <f>IF(ISERROR(IF(FIND($E$1,总课表!R19)&gt;1,总课表!R19,"")),"",IF(FIND($E$1,总课表!R19)&gt;0,总课表!R19,""))</f>
        <v/>
      </c>
      <c r="S19" s="98" t="str">
        <f>IF(ISERROR(IF(FIND($E$1,总课表!S19)&gt;1,总课表!S19,"")),"",IF(FIND($E$1,总课表!S19)&gt;0,总课表!S19,""))</f>
        <v/>
      </c>
      <c r="T19" s="98" t="str">
        <f>IF(ISERROR(IF(FIND($E$1,总课表!T19)&gt;1,总课表!T19,"")),"",IF(FIND($E$1,总课表!T19)&gt;0,总课表!T19,""))</f>
        <v/>
      </c>
      <c r="U19" s="98" t="str">
        <f>IF(ISERROR(IF(FIND($E$1,总课表!U19)&gt;1,总课表!U19,"")),"",IF(FIND($E$1,总课表!U19)&gt;0,总课表!U19,""))</f>
        <v/>
      </c>
    </row>
    <row r="20" spans="1:21" ht="62" customHeight="1" x14ac:dyDescent="0.25">
      <c r="A20" s="100" t="s">
        <v>221</v>
      </c>
      <c r="B20" s="98" t="str">
        <f>IF(ISERROR(IF(FIND($E$1,总课表!B20)&gt;1,总课表!B20,"")),"",IF(FIND($E$1,总课表!B20)&gt;0,总课表!B20,""))</f>
        <v/>
      </c>
      <c r="C20" s="98" t="str">
        <f>IF(ISERROR(IF(FIND($E$1,总课表!C20)&gt;1,总课表!C20,"")),"",IF(FIND($E$1,总课表!C20)&gt;0,总课表!C20,""))</f>
        <v/>
      </c>
      <c r="D20" s="98" t="str">
        <f>IF(ISERROR(IF(FIND($E$1,总课表!D20)&gt;1,总课表!D20,"")),"",IF(FIND($E$1,总课表!D20)&gt;0,总课表!D20,""))</f>
        <v/>
      </c>
      <c r="E20" s="98" t="str">
        <f>IF(ISERROR(IF(FIND($E$1,总课表!E20)&gt;1,总课表!E20,"")),"",IF(FIND($E$1,总课表!E20)&gt;0,总课表!E20,""))</f>
        <v/>
      </c>
      <c r="F20" s="98" t="str">
        <f>IF(ISERROR(IF(FIND($E$1,总课表!F20)&gt;1,总课表!F20,"")),"",IF(FIND($E$1,总课表!F20)&gt;0,总课表!F20,""))</f>
        <v/>
      </c>
      <c r="G20" s="98" t="str">
        <f>IF(ISERROR(IF(FIND($E$1,总课表!G20)&gt;1,总课表!G20,"")),"",IF(FIND($E$1,总课表!G20)&gt;0,总课表!G20,""))</f>
        <v/>
      </c>
      <c r="H20" s="98" t="str">
        <f>IF(ISERROR(IF(FIND($E$1,总课表!H20)&gt;1,总课表!H20,"")),"",IF(FIND($E$1,总课表!H20)&gt;0,总课表!H20,""))</f>
        <v/>
      </c>
      <c r="I20" s="98" t="str">
        <f>IF(ISERROR(IF(FIND($E$1,总课表!I20)&gt;1,总课表!I20,"")),"",IF(FIND($E$1,总课表!I20)&gt;0,总课表!I20,""))</f>
        <v/>
      </c>
      <c r="J20" s="98" t="str">
        <f>IF(ISERROR(IF(FIND($E$1,总课表!J20)&gt;1,总课表!J20,"")),"",IF(FIND($E$1,总课表!J20)&gt;0,总课表!J20,""))</f>
        <v/>
      </c>
      <c r="K20" s="98" t="str">
        <f>IF(ISERROR(IF(FIND($E$1,总课表!K20)&gt;1,总课表!K20,"")),"",IF(FIND($E$1,总课表!K20)&gt;0,总课表!K20,""))</f>
        <v/>
      </c>
      <c r="L20" s="98" t="str">
        <f>IF(ISERROR(IF(FIND($E$1,总课表!L20)&gt;1,总课表!L20,"")),"",IF(FIND($E$1,总课表!L20)&gt;0,总课表!L20,""))</f>
        <v/>
      </c>
      <c r="M20" s="98" t="str">
        <f>IF(ISERROR(IF(FIND($E$1,总课表!M20)&gt;1,总课表!M20,"")),"",IF(FIND($E$1,总课表!M20)&gt;0,总课表!M20,""))</f>
        <v/>
      </c>
      <c r="N20" s="98" t="str">
        <f>IF(ISERROR(IF(FIND($E$1,总课表!N20)&gt;1,总课表!N20,"")),"",IF(FIND($E$1,总课表!N20)&gt;0,总课表!N20,""))</f>
        <v/>
      </c>
      <c r="O20" s="98" t="str">
        <f>IF(ISERROR(IF(FIND($E$1,总课表!O20)&gt;1,总课表!O20,"")),"",IF(FIND($E$1,总课表!O20)&gt;0,总课表!O20,""))</f>
        <v/>
      </c>
      <c r="P20" s="98" t="str">
        <f>IF(ISERROR(IF(FIND($E$1,总课表!P20)&gt;1,总课表!P20,"")),"",IF(FIND($E$1,总课表!P20)&gt;0,总课表!P20,""))</f>
        <v/>
      </c>
      <c r="Q20" s="98" t="str">
        <f>IF(ISERROR(IF(FIND($E$1,总课表!Q20)&gt;1,总课表!Q20,"")),"",IF(FIND($E$1,总课表!Q20)&gt;0,总课表!Q20,""))</f>
        <v/>
      </c>
      <c r="R20" s="98" t="str">
        <f>IF(ISERROR(IF(FIND($E$1,总课表!R20)&gt;1,总课表!R20,"")),"",IF(FIND($E$1,总课表!R20)&gt;0,总课表!R20,""))</f>
        <v/>
      </c>
      <c r="S20" s="98" t="str">
        <f>IF(ISERROR(IF(FIND($E$1,总课表!S20)&gt;1,总课表!S20,"")),"",IF(FIND($E$1,总课表!S20)&gt;0,总课表!S20,""))</f>
        <v/>
      </c>
      <c r="T20" s="98" t="str">
        <f>IF(ISERROR(IF(FIND($E$1,总课表!T20)&gt;1,总课表!T20,"")),"",IF(FIND($E$1,总课表!T20)&gt;0,总课表!T20,""))</f>
        <v/>
      </c>
      <c r="U20" s="98" t="str">
        <f>IF(ISERROR(IF(FIND($E$1,总课表!U20)&gt;1,总课表!U20,"")),"",IF(FIND($E$1,总课表!U20)&gt;0,总课表!U20,""))</f>
        <v/>
      </c>
    </row>
    <row r="21" spans="1:21" ht="58" customHeight="1" x14ac:dyDescent="0.25">
      <c r="A21" s="100" t="s">
        <v>236</v>
      </c>
      <c r="B21" s="98" t="str">
        <f>IF(ISERROR(IF(FIND($E$1,总课表!B21)&gt;1,总课表!B21,"")),"",IF(FIND($E$1,总课表!B21)&gt;0,总课表!B21,""))</f>
        <v/>
      </c>
      <c r="C21" s="98" t="str">
        <f>IF(ISERROR(IF(FIND($E$1,总课表!C21)&gt;1,总课表!C21,"")),"",IF(FIND($E$1,总课表!C21)&gt;0,总课表!C21,""))</f>
        <v/>
      </c>
      <c r="D21" s="98" t="str">
        <f>IF(ISERROR(IF(FIND($E$1,总课表!D21)&gt;1,总课表!D21,"")),"",IF(FIND($E$1,总课表!D21)&gt;0,总课表!D21,""))</f>
        <v/>
      </c>
      <c r="E21" s="98" t="str">
        <f>IF(ISERROR(IF(FIND($E$1,总课表!E21)&gt;1,总课表!E21,"")),"",IF(FIND($E$1,总课表!E21)&gt;0,总课表!E21,""))</f>
        <v/>
      </c>
      <c r="F21" s="98" t="str">
        <f>IF(ISERROR(IF(FIND($E$1,总课表!F21)&gt;1,总课表!F21,"")),"",IF(FIND($E$1,总课表!F21)&gt;0,总课表!F21,""))</f>
        <v/>
      </c>
      <c r="G21" s="98" t="str">
        <f>IF(ISERROR(IF(FIND($E$1,总课表!G21)&gt;1,总课表!G21,"")),"",IF(FIND($E$1,总课表!G21)&gt;0,总课表!G21,""))</f>
        <v/>
      </c>
      <c r="H21" s="98" t="str">
        <f>IF(ISERROR(IF(FIND($E$1,总课表!H21)&gt;1,总课表!H21,"")),"",IF(FIND($E$1,总课表!H21)&gt;0,总课表!H21,""))</f>
        <v/>
      </c>
      <c r="I21" s="98" t="str">
        <f>IF(ISERROR(IF(FIND($E$1,总课表!I21)&gt;1,总课表!I21,"")),"",IF(FIND($E$1,总课表!I21)&gt;0,总课表!I21,""))</f>
        <v/>
      </c>
      <c r="J21" s="98" t="str">
        <f>IF(ISERROR(IF(FIND($E$1,总课表!J21)&gt;1,总课表!J21,"")),"",IF(FIND($E$1,总课表!J21)&gt;0,总课表!J21,""))</f>
        <v/>
      </c>
      <c r="K21" s="98" t="str">
        <f>IF(ISERROR(IF(FIND($E$1,总课表!K21)&gt;1,总课表!K21,"")),"",IF(FIND($E$1,总课表!K21)&gt;0,总课表!K21,""))</f>
        <v/>
      </c>
      <c r="L21" s="98" t="str">
        <f>IF(ISERROR(IF(FIND($E$1,总课表!L21)&gt;1,总课表!L21,"")),"",IF(FIND($E$1,总课表!L21)&gt;0,总课表!L21,""))</f>
        <v/>
      </c>
      <c r="M21" s="98" t="str">
        <f>IF(ISERROR(IF(FIND($E$1,总课表!M21)&gt;1,总课表!M21,"")),"",IF(FIND($E$1,总课表!M21)&gt;0,总课表!M21,""))</f>
        <v/>
      </c>
      <c r="N21" s="98" t="str">
        <f>IF(ISERROR(IF(FIND($E$1,总课表!N21)&gt;1,总课表!N21,"")),"",IF(FIND($E$1,总课表!N21)&gt;0,总课表!N21,""))</f>
        <v/>
      </c>
      <c r="O21" s="98" t="str">
        <f>IF(ISERROR(IF(FIND($E$1,总课表!O21)&gt;1,总课表!O21,"")),"",IF(FIND($E$1,总课表!O21)&gt;0,总课表!O21,""))</f>
        <v/>
      </c>
      <c r="P21" s="98" t="str">
        <f>IF(ISERROR(IF(FIND($E$1,总课表!P21)&gt;1,总课表!P21,"")),"",IF(FIND($E$1,总课表!P21)&gt;0,总课表!P21,""))</f>
        <v/>
      </c>
      <c r="Q21" s="98" t="str">
        <f>IF(ISERROR(IF(FIND($E$1,总课表!Q21)&gt;1,总课表!Q21,"")),"",IF(FIND($E$1,总课表!Q21)&gt;0,总课表!Q21,""))</f>
        <v/>
      </c>
      <c r="R21" s="98" t="str">
        <f>IF(ISERROR(IF(FIND($E$1,总课表!R21)&gt;1,总课表!R21,"")),"",IF(FIND($E$1,总课表!R21)&gt;0,总课表!R21,""))</f>
        <v/>
      </c>
      <c r="S21" s="98" t="str">
        <f>IF(ISERROR(IF(FIND($E$1,总课表!S21)&gt;1,总课表!S21,"")),"",IF(FIND($E$1,总课表!S21)&gt;0,总课表!S21,""))</f>
        <v/>
      </c>
      <c r="T21" s="98" t="str">
        <f>IF(ISERROR(IF(FIND($E$1,总课表!T21)&gt;1,总课表!T21,"")),"",IF(FIND($E$1,总课表!T21)&gt;0,总课表!T21,""))</f>
        <v/>
      </c>
      <c r="U21" s="98" t="str">
        <f>IF(ISERROR(IF(FIND($E$1,总课表!U21)&gt;1,总课表!U21,"")),"",IF(FIND($E$1,总课表!U21)&gt;0,总课表!U21,""))</f>
        <v/>
      </c>
    </row>
    <row r="22" spans="1:21" ht="51" customHeight="1" x14ac:dyDescent="0.25">
      <c r="A22" s="100" t="s">
        <v>249</v>
      </c>
      <c r="B22" s="98" t="str">
        <f>IF(ISERROR(IF(FIND($E$1,总课表!B22)&gt;1,总课表!B22,"")),"",IF(FIND($E$1,总课表!B22)&gt;0,总课表!B22,""))</f>
        <v/>
      </c>
      <c r="C22" s="98" t="str">
        <f>IF(ISERROR(IF(FIND($E$1,总课表!C22)&gt;1,总课表!C22,"")),"",IF(FIND($E$1,总课表!C22)&gt;0,总课表!C22,""))</f>
        <v/>
      </c>
      <c r="D22" s="98" t="str">
        <f>IF(ISERROR(IF(FIND($E$1,总课表!D22)&gt;1,总课表!D22,"")),"",IF(FIND($E$1,总课表!D22)&gt;0,总课表!D22,""))</f>
        <v/>
      </c>
      <c r="E22" s="98" t="str">
        <f>IF(ISERROR(IF(FIND($E$1,总课表!E22)&gt;1,总课表!E22,"")),"",IF(FIND($E$1,总课表!E22)&gt;0,总课表!E22,""))</f>
        <v/>
      </c>
      <c r="F22" s="98" t="str">
        <f>IF(ISERROR(IF(FIND($E$1,总课表!F22)&gt;1,总课表!F22,"")),"",IF(FIND($E$1,总课表!F22)&gt;0,总课表!F22,""))</f>
        <v/>
      </c>
      <c r="G22" s="98" t="str">
        <f>IF(ISERROR(IF(FIND($E$1,总课表!G22)&gt;1,总课表!G22,"")),"",IF(FIND($E$1,总课表!G22)&gt;0,总课表!G22,""))</f>
        <v/>
      </c>
      <c r="H22" s="98" t="str">
        <f>IF(ISERROR(IF(FIND($E$1,总课表!H22)&gt;1,总课表!H22,"")),"",IF(FIND($E$1,总课表!H22)&gt;0,总课表!H22,""))</f>
        <v/>
      </c>
      <c r="I22" s="98" t="str">
        <f>IF(ISERROR(IF(FIND($E$1,总课表!I22)&gt;1,总课表!I22,"")),"",IF(FIND($E$1,总课表!I22)&gt;0,总课表!I22,""))</f>
        <v/>
      </c>
      <c r="J22" s="98" t="str">
        <f>IF(ISERROR(IF(FIND($E$1,总课表!J22)&gt;1,总课表!J22,"")),"",IF(FIND($E$1,总课表!J22)&gt;0,总课表!J22,""))</f>
        <v/>
      </c>
      <c r="K22" s="98" t="str">
        <f>IF(ISERROR(IF(FIND($E$1,总课表!K22)&gt;1,总课表!K22,"")),"",IF(FIND($E$1,总课表!K22)&gt;0,总课表!K22,""))</f>
        <v/>
      </c>
      <c r="L22" s="98" t="str">
        <f>IF(ISERROR(IF(FIND($E$1,总课表!L22)&gt;1,总课表!L22,"")),"",IF(FIND($E$1,总课表!L22)&gt;0,总课表!L22,""))</f>
        <v/>
      </c>
      <c r="M22" s="98" t="str">
        <f>IF(ISERROR(IF(FIND($E$1,总课表!M22)&gt;1,总课表!M22,"")),"",IF(FIND($E$1,总课表!M22)&gt;0,总课表!M22,""))</f>
        <v/>
      </c>
      <c r="N22" s="98" t="str">
        <f>IF(ISERROR(IF(FIND($E$1,总课表!N22)&gt;1,总课表!N22,"")),"",IF(FIND($E$1,总课表!N22)&gt;0,总课表!N22,""))</f>
        <v/>
      </c>
      <c r="O22" s="98" t="str">
        <f>IF(ISERROR(IF(FIND($E$1,总课表!O22)&gt;1,总课表!O22,"")),"",IF(FIND($E$1,总课表!O22)&gt;0,总课表!O22,""))</f>
        <v/>
      </c>
      <c r="P22" s="98" t="str">
        <f>IF(ISERROR(IF(FIND($E$1,总课表!P22)&gt;1,总课表!P22,"")),"",IF(FIND($E$1,总课表!P22)&gt;0,总课表!P22,""))</f>
        <v/>
      </c>
      <c r="Q22" s="98" t="str">
        <f>IF(ISERROR(IF(FIND($E$1,总课表!Q22)&gt;1,总课表!Q22,"")),"",IF(FIND($E$1,总课表!Q22)&gt;0,总课表!Q22,""))</f>
        <v/>
      </c>
      <c r="R22" s="98" t="str">
        <f>IF(ISERROR(IF(FIND($E$1,总课表!R22)&gt;1,总课表!R22,"")),"",IF(FIND($E$1,总课表!R22)&gt;0,总课表!R22,""))</f>
        <v/>
      </c>
      <c r="S22" s="98" t="str">
        <f>IF(ISERROR(IF(FIND($E$1,总课表!S22)&gt;1,总课表!S22,"")),"",IF(FIND($E$1,总课表!S22)&gt;0,总课表!S22,""))</f>
        <v/>
      </c>
      <c r="T22" s="98" t="str">
        <f>IF(ISERROR(IF(FIND($E$1,总课表!T22)&gt;1,总课表!T22,"")),"",IF(FIND($E$1,总课表!T22)&gt;0,总课表!T22,""))</f>
        <v/>
      </c>
      <c r="U22" s="98" t="str">
        <f>IF(ISERROR(IF(FIND($E$1,总课表!U22)&gt;1,总课表!U22,"")),"",IF(FIND($E$1,总课表!U22)&gt;0,总课表!U22,""))</f>
        <v/>
      </c>
    </row>
    <row r="23" spans="1:21" ht="51" customHeight="1" x14ac:dyDescent="0.25">
      <c r="A23" s="100" t="s">
        <v>264</v>
      </c>
      <c r="B23" s="98" t="str">
        <f>IF(ISERROR(IF(FIND($E$1,总课表!B23)&gt;1,总课表!B23,"")),"",IF(FIND($E$1,总课表!B23)&gt;0,总课表!B23,""))</f>
        <v/>
      </c>
      <c r="C23" s="98" t="str">
        <f>IF(ISERROR(IF(FIND($E$1,总课表!C23)&gt;1,总课表!C23,"")),"",IF(FIND($E$1,总课表!C23)&gt;0,总课表!C23,""))</f>
        <v/>
      </c>
      <c r="D23" s="98" t="str">
        <f>IF(ISERROR(IF(FIND($E$1,总课表!D23)&gt;1,总课表!D23,"")),"",IF(FIND($E$1,总课表!D23)&gt;0,总课表!D23,""))</f>
        <v/>
      </c>
      <c r="E23" s="98" t="str">
        <f>IF(ISERROR(IF(FIND($E$1,总课表!E23)&gt;1,总课表!E23,"")),"",IF(FIND($E$1,总课表!E23)&gt;0,总课表!E23,""))</f>
        <v/>
      </c>
      <c r="F23" s="98" t="str">
        <f>IF(ISERROR(IF(FIND($E$1,总课表!F23)&gt;1,总课表!F23,"")),"",IF(FIND($E$1,总课表!F23)&gt;0,总课表!F23,""))</f>
        <v/>
      </c>
      <c r="G23" s="98" t="str">
        <f>IF(ISERROR(IF(FIND($E$1,总课表!G23)&gt;1,总课表!G23,"")),"",IF(FIND($E$1,总课表!G23)&gt;0,总课表!G23,""))</f>
        <v/>
      </c>
      <c r="H23" s="98" t="str">
        <f>IF(ISERROR(IF(FIND($E$1,总课表!H23)&gt;1,总课表!H23,"")),"",IF(FIND($E$1,总课表!H23)&gt;0,总课表!H23,""))</f>
        <v/>
      </c>
      <c r="I23" s="98" t="str">
        <f>IF(ISERROR(IF(FIND($E$1,总课表!I23)&gt;1,总课表!I23,"")),"",IF(FIND($E$1,总课表!I23)&gt;0,总课表!I23,""))</f>
        <v/>
      </c>
      <c r="J23" s="98" t="str">
        <f>IF(ISERROR(IF(FIND($E$1,总课表!J23)&gt;1,总课表!J23,"")),"",IF(FIND($E$1,总课表!J23)&gt;0,总课表!J23,""))</f>
        <v/>
      </c>
      <c r="K23" s="98" t="str">
        <f>IF(ISERROR(IF(FIND($E$1,总课表!K23)&gt;1,总课表!K23,"")),"",IF(FIND($E$1,总课表!K23)&gt;0,总课表!K23,""))</f>
        <v/>
      </c>
      <c r="L23" s="98" t="str">
        <f>IF(ISERROR(IF(FIND($E$1,总课表!L23)&gt;1,总课表!L23,"")),"",IF(FIND($E$1,总课表!L23)&gt;0,总课表!L23,""))</f>
        <v/>
      </c>
      <c r="M23" s="98" t="str">
        <f>IF(ISERROR(IF(FIND($E$1,总课表!M23)&gt;1,总课表!M23,"")),"",IF(FIND($E$1,总课表!M23)&gt;0,总课表!M23,""))</f>
        <v/>
      </c>
      <c r="N23" s="98" t="str">
        <f>IF(ISERROR(IF(FIND($E$1,总课表!N23)&gt;1,总课表!N23,"")),"",IF(FIND($E$1,总课表!N23)&gt;0,总课表!N23,""))</f>
        <v/>
      </c>
      <c r="O23" s="98" t="str">
        <f>IF(ISERROR(IF(FIND($E$1,总课表!O23)&gt;1,总课表!O23,"")),"",IF(FIND($E$1,总课表!O23)&gt;0,总课表!O23,""))</f>
        <v/>
      </c>
      <c r="P23" s="98" t="str">
        <f>IF(ISERROR(IF(FIND($E$1,总课表!P23)&gt;1,总课表!P23,"")),"",IF(FIND($E$1,总课表!P23)&gt;0,总课表!P23,""))</f>
        <v/>
      </c>
      <c r="Q23" s="98" t="str">
        <f>IF(ISERROR(IF(FIND($E$1,总课表!Q23)&gt;1,总课表!Q23,"")),"",IF(FIND($E$1,总课表!Q23)&gt;0,总课表!Q23,""))</f>
        <v/>
      </c>
      <c r="R23" s="98" t="str">
        <f>IF(ISERROR(IF(FIND($E$1,总课表!R23)&gt;1,总课表!R23,"")),"",IF(FIND($E$1,总课表!R23)&gt;0,总课表!R23,""))</f>
        <v/>
      </c>
      <c r="S23" s="98" t="str">
        <f>IF(ISERROR(IF(FIND($E$1,总课表!S23)&gt;1,总课表!S23,"")),"",IF(FIND($E$1,总课表!S23)&gt;0,总课表!S23,""))</f>
        <v/>
      </c>
      <c r="T23" s="98" t="str">
        <f>IF(ISERROR(IF(FIND($E$1,总课表!T23)&gt;1,总课表!T23,"")),"",IF(FIND($E$1,总课表!T23)&gt;0,总课表!T23,""))</f>
        <v/>
      </c>
      <c r="U23" s="98" t="str">
        <f>IF(ISERROR(IF(FIND($E$1,总课表!U23)&gt;1,总课表!U23,"")),"",IF(FIND($E$1,总课表!U23)&gt;0,总课表!U23,""))</f>
        <v/>
      </c>
    </row>
    <row r="24" spans="1:21" ht="61" customHeight="1" x14ac:dyDescent="0.25">
      <c r="A24" s="100" t="s">
        <v>274</v>
      </c>
      <c r="B24" s="98" t="str">
        <f>IF(ISERROR(IF(FIND($E$1,总课表!B24)&gt;1,总课表!B24,"")),"",IF(FIND($E$1,总课表!B24)&gt;0,总课表!B24,""))</f>
        <v/>
      </c>
      <c r="C24" s="98" t="str">
        <f>IF(ISERROR(IF(FIND($E$1,总课表!C24)&gt;1,总课表!C24,"")),"",IF(FIND($E$1,总课表!C24)&gt;0,总课表!C24,""))</f>
        <v/>
      </c>
      <c r="D24" s="98" t="str">
        <f>IF(ISERROR(IF(FIND($E$1,总课表!D24)&gt;1,总课表!D24,"")),"",IF(FIND($E$1,总课表!D24)&gt;0,总课表!D24,""))</f>
        <v/>
      </c>
      <c r="E24" s="98" t="str">
        <f>IF(ISERROR(IF(FIND($E$1,总课表!E24)&gt;1,总课表!E24,"")),"",IF(FIND($E$1,总课表!E24)&gt;0,总课表!E24,""))</f>
        <v/>
      </c>
      <c r="F24" s="98" t="str">
        <f>IF(ISERROR(IF(FIND($E$1,总课表!F24)&gt;1,总课表!F24,"")),"",IF(FIND($E$1,总课表!F24)&gt;0,总课表!F24,""))</f>
        <v/>
      </c>
      <c r="G24" s="98" t="str">
        <f>IF(ISERROR(IF(FIND($E$1,总课表!G24)&gt;1,总课表!G24,"")),"",IF(FIND($E$1,总课表!G24)&gt;0,总课表!G24,""))</f>
        <v/>
      </c>
      <c r="H24" s="98" t="str">
        <f>IF(ISERROR(IF(FIND($E$1,总课表!H24)&gt;1,总课表!H24,"")),"",IF(FIND($E$1,总课表!H24)&gt;0,总课表!H24,""))</f>
        <v/>
      </c>
      <c r="I24" s="98" t="str">
        <f>IF(ISERROR(IF(FIND($E$1,总课表!I24)&gt;1,总课表!I24,"")),"",IF(FIND($E$1,总课表!I24)&gt;0,总课表!I24,""))</f>
        <v/>
      </c>
      <c r="J24" s="98" t="str">
        <f>IF(ISERROR(IF(FIND($E$1,总课表!J24)&gt;1,总课表!J24,"")),"",IF(FIND($E$1,总课表!J24)&gt;0,总课表!J24,""))</f>
        <v/>
      </c>
      <c r="K24" s="98" t="str">
        <f>IF(ISERROR(IF(FIND($E$1,总课表!K24)&gt;1,总课表!K24,"")),"",IF(FIND($E$1,总课表!K24)&gt;0,总课表!K24,""))</f>
        <v/>
      </c>
      <c r="L24" s="98" t="str">
        <f>IF(ISERROR(IF(FIND($E$1,总课表!L24)&gt;1,总课表!L24,"")),"",IF(FIND($E$1,总课表!L24)&gt;0,总课表!L24,""))</f>
        <v/>
      </c>
      <c r="M24" s="98" t="str">
        <f>IF(ISERROR(IF(FIND($E$1,总课表!M24)&gt;1,总课表!M24,"")),"",IF(FIND($E$1,总课表!M24)&gt;0,总课表!M24,""))</f>
        <v/>
      </c>
      <c r="N24" s="98" t="str">
        <f>IF(ISERROR(IF(FIND($E$1,总课表!N24)&gt;1,总课表!N24,"")),"",IF(FIND($E$1,总课表!N24)&gt;0,总课表!N24,""))</f>
        <v/>
      </c>
      <c r="O24" s="98" t="str">
        <f>IF(ISERROR(IF(FIND($E$1,总课表!O24)&gt;1,总课表!O24,"")),"",IF(FIND($E$1,总课表!O24)&gt;0,总课表!O24,""))</f>
        <v/>
      </c>
      <c r="P24" s="98" t="str">
        <f>IF(ISERROR(IF(FIND($E$1,总课表!P24)&gt;1,总课表!P24,"")),"",IF(FIND($E$1,总课表!P24)&gt;0,总课表!P24,""))</f>
        <v/>
      </c>
      <c r="Q24" s="98" t="str">
        <f>IF(ISERROR(IF(FIND($E$1,总课表!Q24)&gt;1,总课表!Q24,"")),"",IF(FIND($E$1,总课表!Q24)&gt;0,总课表!Q24,""))</f>
        <v/>
      </c>
      <c r="R24" s="98" t="str">
        <f>IF(ISERROR(IF(FIND($E$1,总课表!R24)&gt;1,总课表!R24,"")),"",IF(FIND($E$1,总课表!R24)&gt;0,总课表!R24,""))</f>
        <v/>
      </c>
      <c r="S24" s="98" t="str">
        <f>IF(ISERROR(IF(FIND($E$1,总课表!S24)&gt;1,总课表!S24,"")),"",IF(FIND($E$1,总课表!S24)&gt;0,总课表!S24,""))</f>
        <v/>
      </c>
      <c r="T24" s="98" t="str">
        <f>IF(ISERROR(IF(FIND($E$1,总课表!T24)&gt;1,总课表!T24,"")),"",IF(FIND($E$1,总课表!T24)&gt;0,总课表!T24,""))</f>
        <v/>
      </c>
      <c r="U24" s="98" t="str">
        <f>IF(ISERROR(IF(FIND($E$1,总课表!U24)&gt;1,总课表!U24,"")),"",IF(FIND($E$1,总课表!U24)&gt;0,总课表!U24,""))</f>
        <v/>
      </c>
    </row>
    <row r="25" spans="1:21" ht="51" customHeight="1" x14ac:dyDescent="0.25">
      <c r="A25" s="100" t="s">
        <v>285</v>
      </c>
      <c r="B25" s="98" t="str">
        <f>IF(ISERROR(IF(FIND($E$1,总课表!B25)&gt;1,总课表!B25,"")),"",IF(FIND($E$1,总课表!B25)&gt;0,总课表!B25,""))</f>
        <v/>
      </c>
      <c r="C25" s="98" t="str">
        <f>IF(ISERROR(IF(FIND($E$1,总课表!C25)&gt;1,总课表!C25,"")),"",IF(FIND($E$1,总课表!C25)&gt;0,总课表!C25,""))</f>
        <v/>
      </c>
      <c r="D25" s="98" t="str">
        <f>IF(ISERROR(IF(FIND($E$1,总课表!D25)&gt;1,总课表!D25,"")),"",IF(FIND($E$1,总课表!D25)&gt;0,总课表!D25,""))</f>
        <v/>
      </c>
      <c r="E25" s="98" t="str">
        <f>IF(ISERROR(IF(FIND($E$1,总课表!E25)&gt;1,总课表!E25,"")),"",IF(FIND($E$1,总课表!E25)&gt;0,总课表!E25,""))</f>
        <v/>
      </c>
      <c r="F25" s="98" t="str">
        <f>IF(ISERROR(IF(FIND($E$1,总课表!F25)&gt;1,总课表!F25,"")),"",IF(FIND($E$1,总课表!F25)&gt;0,总课表!F25,""))</f>
        <v/>
      </c>
      <c r="G25" s="98" t="str">
        <f>IF(ISERROR(IF(FIND($E$1,总课表!G25)&gt;1,总课表!G25,"")),"",IF(FIND($E$1,总课表!G25)&gt;0,总课表!G25,""))</f>
        <v/>
      </c>
      <c r="H25" s="98" t="str">
        <f>IF(ISERROR(IF(FIND($E$1,总课表!H25)&gt;1,总课表!H25,"")),"",IF(FIND($E$1,总课表!H25)&gt;0,总课表!H25,""))</f>
        <v/>
      </c>
      <c r="I25" s="98" t="str">
        <f>IF(ISERROR(IF(FIND($E$1,总课表!I25)&gt;1,总课表!I25,"")),"",IF(FIND($E$1,总课表!I25)&gt;0,总课表!I25,""))</f>
        <v/>
      </c>
      <c r="J25" s="98" t="str">
        <f>IF(ISERROR(IF(FIND($E$1,总课表!J25)&gt;1,总课表!J25,"")),"",IF(FIND($E$1,总课表!J25)&gt;0,总课表!J25,""))</f>
        <v/>
      </c>
      <c r="K25" s="98" t="str">
        <f>IF(ISERROR(IF(FIND($E$1,总课表!K25)&gt;1,总课表!K25,"")),"",IF(FIND($E$1,总课表!K25)&gt;0,总课表!K25,""))</f>
        <v/>
      </c>
      <c r="L25" s="98" t="str">
        <f>IF(ISERROR(IF(FIND($E$1,总课表!L25)&gt;1,总课表!L25,"")),"",IF(FIND($E$1,总课表!L25)&gt;0,总课表!L25,""))</f>
        <v/>
      </c>
      <c r="M25" s="98" t="str">
        <f>IF(ISERROR(IF(FIND($E$1,总课表!M25)&gt;1,总课表!M25,"")),"",IF(FIND($E$1,总课表!M25)&gt;0,总课表!M25,""))</f>
        <v/>
      </c>
      <c r="N25" s="98" t="str">
        <f>IF(ISERROR(IF(FIND($E$1,总课表!N25)&gt;1,总课表!N25,"")),"",IF(FIND($E$1,总课表!N25)&gt;0,总课表!N25,""))</f>
        <v/>
      </c>
      <c r="O25" s="98" t="str">
        <f>IF(ISERROR(IF(FIND($E$1,总课表!O25)&gt;1,总课表!O25,"")),"",IF(FIND($E$1,总课表!O25)&gt;0,总课表!O25,""))</f>
        <v/>
      </c>
      <c r="P25" s="98" t="str">
        <f>IF(ISERROR(IF(FIND($E$1,总课表!P25)&gt;1,总课表!P25,"")),"",IF(FIND($E$1,总课表!P25)&gt;0,总课表!P25,""))</f>
        <v/>
      </c>
      <c r="Q25" s="98" t="str">
        <f>IF(ISERROR(IF(FIND($E$1,总课表!Q25)&gt;1,总课表!Q25,"")),"",IF(FIND($E$1,总课表!Q25)&gt;0,总课表!Q25,""))</f>
        <v/>
      </c>
      <c r="R25" s="98" t="str">
        <f>IF(ISERROR(IF(FIND($E$1,总课表!R25)&gt;1,总课表!R25,"")),"",IF(FIND($E$1,总课表!R25)&gt;0,总课表!R25,""))</f>
        <v/>
      </c>
      <c r="S25" s="98" t="str">
        <f>IF(ISERROR(IF(FIND($E$1,总课表!S25)&gt;1,总课表!S25,"")),"",IF(FIND($E$1,总课表!S25)&gt;0,总课表!S25,""))</f>
        <v/>
      </c>
      <c r="T25" s="98" t="str">
        <f>IF(ISERROR(IF(FIND($E$1,总课表!T25)&gt;1,总课表!T25,"")),"",IF(FIND($E$1,总课表!T25)&gt;0,总课表!T25,""))</f>
        <v/>
      </c>
      <c r="U25" s="98" t="str">
        <f>IF(ISERROR(IF(FIND($E$1,总课表!U25)&gt;1,总课表!U25,"")),"",IF(FIND($E$1,总课表!U25)&gt;0,总课表!U25,""))</f>
        <v/>
      </c>
    </row>
    <row r="26" spans="1:21" ht="51" customHeight="1" x14ac:dyDescent="0.25">
      <c r="A26" s="100" t="s">
        <v>296</v>
      </c>
      <c r="B26" s="98" t="str">
        <f>IF(ISERROR(IF(FIND($E$1,总课表!B26)&gt;1,总课表!B26,"")),"",IF(FIND($E$1,总课表!B26)&gt;0,总课表!B26,""))</f>
        <v/>
      </c>
      <c r="C26" s="98" t="str">
        <f>IF(ISERROR(IF(FIND($E$1,总课表!C26)&gt;1,总课表!C26,"")),"",IF(FIND($E$1,总课表!C26)&gt;0,总课表!C26,""))</f>
        <v/>
      </c>
      <c r="D26" s="98" t="str">
        <f>IF(ISERROR(IF(FIND($E$1,总课表!D26)&gt;1,总课表!D26,"")),"",IF(FIND($E$1,总课表!D26)&gt;0,总课表!D26,""))</f>
        <v/>
      </c>
      <c r="E26" s="98" t="str">
        <f>IF(ISERROR(IF(FIND($E$1,总课表!E26)&gt;1,总课表!E26,"")),"",IF(FIND($E$1,总课表!E26)&gt;0,总课表!E26,""))</f>
        <v/>
      </c>
      <c r="F26" s="98" t="str">
        <f>IF(ISERROR(IF(FIND($E$1,总课表!F26)&gt;1,总课表!F26,"")),"",IF(FIND($E$1,总课表!F26)&gt;0,总课表!F26,""))</f>
        <v/>
      </c>
      <c r="G26" s="98" t="str">
        <f>IF(ISERROR(IF(FIND($E$1,总课表!G26)&gt;1,总课表!G26,"")),"",IF(FIND($E$1,总课表!G26)&gt;0,总课表!G26,""))</f>
        <v/>
      </c>
      <c r="H26" s="98" t="str">
        <f>IF(ISERROR(IF(FIND($E$1,总课表!H26)&gt;1,总课表!H26,"")),"",IF(FIND($E$1,总课表!H26)&gt;0,总课表!H26,""))</f>
        <v/>
      </c>
      <c r="I26" s="98" t="str">
        <f>IF(ISERROR(IF(FIND($E$1,总课表!I26)&gt;1,总课表!I26,"")),"",IF(FIND($E$1,总课表!I26)&gt;0,总课表!I26,""))</f>
        <v/>
      </c>
      <c r="J26" s="98" t="str">
        <f>IF(ISERROR(IF(FIND($E$1,总课表!J26)&gt;1,总课表!J26,"")),"",IF(FIND($E$1,总课表!J26)&gt;0,总课表!J26,""))</f>
        <v/>
      </c>
      <c r="K26" s="98" t="str">
        <f>IF(ISERROR(IF(FIND($E$1,总课表!K26)&gt;1,总课表!K26,"")),"",IF(FIND($E$1,总课表!K26)&gt;0,总课表!K26,""))</f>
        <v/>
      </c>
      <c r="L26" s="98" t="str">
        <f>IF(ISERROR(IF(FIND($E$1,总课表!L26)&gt;1,总课表!L26,"")),"",IF(FIND($E$1,总课表!L26)&gt;0,总课表!L26,""))</f>
        <v/>
      </c>
      <c r="M26" s="98" t="str">
        <f>IF(ISERROR(IF(FIND($E$1,总课表!M26)&gt;1,总课表!M26,"")),"",IF(FIND($E$1,总课表!M26)&gt;0,总课表!M26,""))</f>
        <v/>
      </c>
      <c r="N26" s="98" t="str">
        <f>IF(ISERROR(IF(FIND($E$1,总课表!N26)&gt;1,总课表!N26,"")),"",IF(FIND($E$1,总课表!N26)&gt;0,总课表!N26,""))</f>
        <v/>
      </c>
      <c r="O26" s="98" t="str">
        <f>IF(ISERROR(IF(FIND($E$1,总课表!O26)&gt;1,总课表!O26,"")),"",IF(FIND($E$1,总课表!O26)&gt;0,总课表!O26,""))</f>
        <v/>
      </c>
      <c r="P26" s="98" t="str">
        <f>IF(ISERROR(IF(FIND($E$1,总课表!P26)&gt;1,总课表!P26,"")),"",IF(FIND($E$1,总课表!P26)&gt;0,总课表!P26,""))</f>
        <v/>
      </c>
      <c r="Q26" s="98" t="str">
        <f>IF(ISERROR(IF(FIND($E$1,总课表!Q26)&gt;1,总课表!Q26,"")),"",IF(FIND($E$1,总课表!Q26)&gt;0,总课表!Q26,""))</f>
        <v/>
      </c>
      <c r="R26" s="98" t="str">
        <f>IF(ISERROR(IF(FIND($E$1,总课表!R26)&gt;1,总课表!R26,"")),"",IF(FIND($E$1,总课表!R26)&gt;0,总课表!R26,""))</f>
        <v/>
      </c>
      <c r="S26" s="98" t="str">
        <f>IF(ISERROR(IF(FIND($E$1,总课表!S26)&gt;1,总课表!S26,"")),"",IF(FIND($E$1,总课表!S26)&gt;0,总课表!S26,""))</f>
        <v/>
      </c>
      <c r="T26" s="98" t="str">
        <f>IF(ISERROR(IF(FIND($E$1,总课表!T26)&gt;1,总课表!T26,"")),"",IF(FIND($E$1,总课表!T26)&gt;0,总课表!T26,""))</f>
        <v/>
      </c>
      <c r="U26" s="98" t="str">
        <f>IF(ISERROR(IF(FIND($E$1,总课表!U26)&gt;1,总课表!U26,"")),"",IF(FIND($E$1,总课表!U26)&gt;0,总课表!U26,""))</f>
        <v/>
      </c>
    </row>
    <row r="27" spans="1:21" ht="56" customHeight="1" x14ac:dyDescent="0.25">
      <c r="A27" s="100" t="s">
        <v>309</v>
      </c>
      <c r="B27" s="98" t="str">
        <f>IF(ISERROR(IF(FIND($E$1,总课表!B27)&gt;1,总课表!B27,"")),"",IF(FIND($E$1,总课表!B27)&gt;0,总课表!B27,""))</f>
        <v/>
      </c>
      <c r="C27" s="98" t="str">
        <f>IF(ISERROR(IF(FIND($E$1,总课表!C27)&gt;1,总课表!C27,"")),"",IF(FIND($E$1,总课表!C27)&gt;0,总课表!C27,""))</f>
        <v/>
      </c>
      <c r="D27" s="98" t="str">
        <f>IF(ISERROR(IF(FIND($E$1,总课表!D27)&gt;1,总课表!D27,"")),"",IF(FIND($E$1,总课表!D27)&gt;0,总课表!D27,""))</f>
        <v/>
      </c>
      <c r="E27" s="98" t="str">
        <f>IF(ISERROR(IF(FIND($E$1,总课表!E27)&gt;1,总课表!E27,"")),"",IF(FIND($E$1,总课表!E27)&gt;0,总课表!E27,""))</f>
        <v/>
      </c>
      <c r="F27" s="98" t="str">
        <f>IF(ISERROR(IF(FIND($E$1,总课表!F27)&gt;1,总课表!F27,"")),"",IF(FIND($E$1,总课表!F27)&gt;0,总课表!F27,""))</f>
        <v/>
      </c>
      <c r="G27" s="98" t="str">
        <f>IF(ISERROR(IF(FIND($E$1,总课表!G27)&gt;1,总课表!G27,"")),"",IF(FIND($E$1,总课表!G27)&gt;0,总课表!G27,""))</f>
        <v/>
      </c>
      <c r="H27" s="98" t="str">
        <f>IF(ISERROR(IF(FIND($E$1,总课表!H27)&gt;1,总课表!H27,"")),"",IF(FIND($E$1,总课表!H27)&gt;0,总课表!H27,""))</f>
        <v/>
      </c>
      <c r="I27" s="98" t="str">
        <f>IF(ISERROR(IF(FIND($E$1,总课表!I27)&gt;1,总课表!I27,"")),"",IF(FIND($E$1,总课表!I27)&gt;0,总课表!I27,""))</f>
        <v/>
      </c>
      <c r="J27" s="98" t="str">
        <f>IF(ISERROR(IF(FIND($E$1,总课表!J27)&gt;1,总课表!J27,"")),"",IF(FIND($E$1,总课表!J27)&gt;0,总课表!J27,""))</f>
        <v/>
      </c>
      <c r="K27" s="98" t="str">
        <f>IF(ISERROR(IF(FIND($E$1,总课表!K27)&gt;1,总课表!K27,"")),"",IF(FIND($E$1,总课表!K27)&gt;0,总课表!K27,""))</f>
        <v/>
      </c>
      <c r="L27" s="98" t="str">
        <f>IF(ISERROR(IF(FIND($E$1,总课表!L27)&gt;1,总课表!L27,"")),"",IF(FIND($E$1,总课表!L27)&gt;0,总课表!L27,""))</f>
        <v/>
      </c>
      <c r="M27" s="98" t="str">
        <f>IF(ISERROR(IF(FIND($E$1,总课表!M27)&gt;1,总课表!M27,"")),"",IF(FIND($E$1,总课表!M27)&gt;0,总课表!M27,""))</f>
        <v/>
      </c>
      <c r="N27" s="98" t="str">
        <f>IF(ISERROR(IF(FIND($E$1,总课表!N27)&gt;1,总课表!N27,"")),"",IF(FIND($E$1,总课表!N27)&gt;0,总课表!N27,""))</f>
        <v/>
      </c>
      <c r="O27" s="98" t="str">
        <f>IF(ISERROR(IF(FIND($E$1,总课表!O27)&gt;1,总课表!O27,"")),"",IF(FIND($E$1,总课表!O27)&gt;0,总课表!O27,""))</f>
        <v/>
      </c>
      <c r="P27" s="98" t="str">
        <f>IF(ISERROR(IF(FIND($E$1,总课表!P27)&gt;1,总课表!P27,"")),"",IF(FIND($E$1,总课表!P27)&gt;0,总课表!P27,""))</f>
        <v/>
      </c>
      <c r="Q27" s="98" t="str">
        <f>IF(ISERROR(IF(FIND($E$1,总课表!Q27)&gt;1,总课表!Q27,"")),"",IF(FIND($E$1,总课表!Q27)&gt;0,总课表!Q27,""))</f>
        <v/>
      </c>
      <c r="R27" s="98" t="str">
        <f>IF(ISERROR(IF(FIND($E$1,总课表!R27)&gt;1,总课表!R27,"")),"",IF(FIND($E$1,总课表!R27)&gt;0,总课表!R27,""))</f>
        <v/>
      </c>
      <c r="S27" s="98" t="str">
        <f>IF(ISERROR(IF(FIND($E$1,总课表!S27)&gt;1,总课表!S27,"")),"",IF(FIND($E$1,总课表!S27)&gt;0,总课表!S27,""))</f>
        <v/>
      </c>
      <c r="T27" s="98" t="str">
        <f>IF(ISERROR(IF(FIND($E$1,总课表!T27)&gt;1,总课表!T27,"")),"",IF(FIND($E$1,总课表!T27)&gt;0,总课表!T27,""))</f>
        <v/>
      </c>
      <c r="U27" s="98" t="str">
        <f>IF(ISERROR(IF(FIND($E$1,总课表!U27)&gt;1,总课表!U27,"")),"",IF(FIND($E$1,总课表!U27)&gt;0,总课表!U27,""))</f>
        <v/>
      </c>
    </row>
    <row r="28" spans="1:21" ht="51" customHeight="1" x14ac:dyDescent="0.25">
      <c r="A28" s="100" t="s">
        <v>320</v>
      </c>
      <c r="B28" s="98" t="str">
        <f>IF(ISERROR(IF(FIND($E$1,总课表!B28)&gt;1,总课表!B28,"")),"",IF(FIND($E$1,总课表!B28)&gt;0,总课表!B28,""))</f>
        <v/>
      </c>
      <c r="C28" s="98" t="str">
        <f>IF(ISERROR(IF(FIND($E$1,总课表!C28)&gt;1,总课表!C28,"")),"",IF(FIND($E$1,总课表!C28)&gt;0,总课表!C28,""))</f>
        <v/>
      </c>
      <c r="D28" s="98" t="str">
        <f>IF(ISERROR(IF(FIND($E$1,总课表!D28)&gt;1,总课表!D28,"")),"",IF(FIND($E$1,总课表!D28)&gt;0,总课表!D28,""))</f>
        <v/>
      </c>
      <c r="E28" s="98" t="str">
        <f>IF(ISERROR(IF(FIND($E$1,总课表!E28)&gt;1,总课表!E28,"")),"",IF(FIND($E$1,总课表!E28)&gt;0,总课表!E28,""))</f>
        <v/>
      </c>
      <c r="F28" s="98" t="str">
        <f>IF(ISERROR(IF(FIND($E$1,总课表!F28)&gt;1,总课表!F28,"")),"",IF(FIND($E$1,总课表!F28)&gt;0,总课表!F28,""))</f>
        <v/>
      </c>
      <c r="G28" s="98" t="str">
        <f>IF(ISERROR(IF(FIND($E$1,总课表!G28)&gt;1,总课表!G28,"")),"",IF(FIND($E$1,总课表!G28)&gt;0,总课表!G28,""))</f>
        <v/>
      </c>
      <c r="H28" s="98" t="str">
        <f>IF(ISERROR(IF(FIND($E$1,总课表!H28)&gt;1,总课表!H28,"")),"",IF(FIND($E$1,总课表!H28)&gt;0,总课表!H28,""))</f>
        <v/>
      </c>
      <c r="I28" s="98" t="str">
        <f>IF(ISERROR(IF(FIND($E$1,总课表!I28)&gt;1,总课表!I28,"")),"",IF(FIND($E$1,总课表!I28)&gt;0,总课表!I28,""))</f>
        <v/>
      </c>
      <c r="J28" s="98" t="str">
        <f>IF(ISERROR(IF(FIND($E$1,总课表!J28)&gt;1,总课表!J28,"")),"",IF(FIND($E$1,总课表!J28)&gt;0,总课表!J28,""))</f>
        <v/>
      </c>
      <c r="K28" s="98" t="str">
        <f>IF(ISERROR(IF(FIND($E$1,总课表!K28)&gt;1,总课表!K28,"")),"",IF(FIND($E$1,总课表!K28)&gt;0,总课表!K28,""))</f>
        <v/>
      </c>
      <c r="L28" s="98" t="str">
        <f>IF(ISERROR(IF(FIND($E$1,总课表!L28)&gt;1,总课表!L28,"")),"",IF(FIND($E$1,总课表!L28)&gt;0,总课表!L28,""))</f>
        <v/>
      </c>
      <c r="M28" s="98" t="str">
        <f>IF(ISERROR(IF(FIND($E$1,总课表!M28)&gt;1,总课表!M28,"")),"",IF(FIND($E$1,总课表!M28)&gt;0,总课表!M28,""))</f>
        <v/>
      </c>
      <c r="N28" s="98" t="str">
        <f>IF(ISERROR(IF(FIND($E$1,总课表!N28)&gt;1,总课表!N28,"")),"",IF(FIND($E$1,总课表!N28)&gt;0,总课表!N28,""))</f>
        <v/>
      </c>
      <c r="O28" s="98" t="str">
        <f>IF(ISERROR(IF(FIND($E$1,总课表!O28)&gt;1,总课表!O28,"")),"",IF(FIND($E$1,总课表!O28)&gt;0,总课表!O28,""))</f>
        <v/>
      </c>
      <c r="P28" s="98" t="str">
        <f>IF(ISERROR(IF(FIND($E$1,总课表!P28)&gt;1,总课表!P28,"")),"",IF(FIND($E$1,总课表!P28)&gt;0,总课表!P28,""))</f>
        <v/>
      </c>
      <c r="Q28" s="98" t="str">
        <f>IF(ISERROR(IF(FIND($E$1,总课表!Q28)&gt;1,总课表!Q28,"")),"",IF(FIND($E$1,总课表!Q28)&gt;0,总课表!Q28,""))</f>
        <v/>
      </c>
      <c r="R28" s="98" t="str">
        <f>IF(ISERROR(IF(FIND($E$1,总课表!R28)&gt;1,总课表!R28,"")),"",IF(FIND($E$1,总课表!R28)&gt;0,总课表!R28,""))</f>
        <v/>
      </c>
      <c r="S28" s="98" t="str">
        <f>IF(ISERROR(IF(FIND($E$1,总课表!S28)&gt;1,总课表!S28,"")),"",IF(FIND($E$1,总课表!S28)&gt;0,总课表!S28,""))</f>
        <v/>
      </c>
      <c r="T28" s="98" t="str">
        <f>IF(ISERROR(IF(FIND($E$1,总课表!T28)&gt;1,总课表!T28,"")),"",IF(FIND($E$1,总课表!T28)&gt;0,总课表!T28,""))</f>
        <v/>
      </c>
      <c r="U28" s="98" t="str">
        <f>IF(ISERROR(IF(FIND($E$1,总课表!U28)&gt;1,总课表!U28,"")),"",IF(FIND($E$1,总课表!U28)&gt;0,总课表!U28,""))</f>
        <v/>
      </c>
    </row>
    <row r="29" spans="1:21" ht="51" customHeight="1" x14ac:dyDescent="0.25">
      <c r="A29" s="100" t="s">
        <v>331</v>
      </c>
      <c r="B29" s="98" t="str">
        <f>IF(ISERROR(IF(FIND($E$1,总课表!B29)&gt;1,总课表!B29,"")),"",IF(FIND($E$1,总课表!B29)&gt;0,总课表!B29,""))</f>
        <v/>
      </c>
      <c r="C29" s="98" t="str">
        <f>IF(ISERROR(IF(FIND($E$1,总课表!C29)&gt;1,总课表!C29,"")),"",IF(FIND($E$1,总课表!C29)&gt;0,总课表!C29,""))</f>
        <v/>
      </c>
      <c r="D29" s="98" t="str">
        <f>IF(ISERROR(IF(FIND($E$1,总课表!D29)&gt;1,总课表!D29,"")),"",IF(FIND($E$1,总课表!D29)&gt;0,总课表!D29,""))</f>
        <v/>
      </c>
      <c r="E29" s="98" t="str">
        <f>IF(ISERROR(IF(FIND($E$1,总课表!E29)&gt;1,总课表!E29,"")),"",IF(FIND($E$1,总课表!E29)&gt;0,总课表!E29,""))</f>
        <v/>
      </c>
      <c r="F29" s="98" t="str">
        <f>IF(ISERROR(IF(FIND($E$1,总课表!F29)&gt;1,总课表!F29,"")),"",IF(FIND($E$1,总课表!F29)&gt;0,总课表!F29,""))</f>
        <v/>
      </c>
      <c r="G29" s="98" t="str">
        <f>IF(ISERROR(IF(FIND($E$1,总课表!G29)&gt;1,总课表!G29,"")),"",IF(FIND($E$1,总课表!G29)&gt;0,总课表!G29,""))</f>
        <v/>
      </c>
      <c r="H29" s="98" t="str">
        <f>IF(ISERROR(IF(FIND($E$1,总课表!H29)&gt;1,总课表!H29,"")),"",IF(FIND($E$1,总课表!H29)&gt;0,总课表!H29,""))</f>
        <v/>
      </c>
      <c r="I29" s="98" t="str">
        <f>IF(ISERROR(IF(FIND($E$1,总课表!I29)&gt;1,总课表!I29,"")),"",IF(FIND($E$1,总课表!I29)&gt;0,总课表!I29,""))</f>
        <v/>
      </c>
      <c r="J29" s="98" t="str">
        <f>IF(ISERROR(IF(FIND($E$1,总课表!J29)&gt;1,总课表!J29,"")),"",IF(FIND($E$1,总课表!J29)&gt;0,总课表!J29,""))</f>
        <v/>
      </c>
      <c r="K29" s="98" t="str">
        <f>IF(ISERROR(IF(FIND($E$1,总课表!K29)&gt;1,总课表!K29,"")),"",IF(FIND($E$1,总课表!K29)&gt;0,总课表!K29,""))</f>
        <v/>
      </c>
      <c r="L29" s="98" t="str">
        <f>IF(ISERROR(IF(FIND($E$1,总课表!L29)&gt;1,总课表!L29,"")),"",IF(FIND($E$1,总课表!L29)&gt;0,总课表!L29,""))</f>
        <v/>
      </c>
      <c r="M29" s="98" t="str">
        <f>IF(ISERROR(IF(FIND($E$1,总课表!M29)&gt;1,总课表!M29,"")),"",IF(FIND($E$1,总课表!M29)&gt;0,总课表!M29,""))</f>
        <v/>
      </c>
      <c r="N29" s="98" t="str">
        <f>IF(ISERROR(IF(FIND($E$1,总课表!N29)&gt;1,总课表!N29,"")),"",IF(FIND($E$1,总课表!N29)&gt;0,总课表!N29,""))</f>
        <v/>
      </c>
      <c r="O29" s="98" t="str">
        <f>IF(ISERROR(IF(FIND($E$1,总课表!O29)&gt;1,总课表!O29,"")),"",IF(FIND($E$1,总课表!O29)&gt;0,总课表!O29,""))</f>
        <v/>
      </c>
      <c r="P29" s="98" t="str">
        <f>IF(ISERROR(IF(FIND($E$1,总课表!P29)&gt;1,总课表!P29,"")),"",IF(FIND($E$1,总课表!P29)&gt;0,总课表!P29,""))</f>
        <v/>
      </c>
      <c r="Q29" s="98" t="str">
        <f>IF(ISERROR(IF(FIND($E$1,总课表!Q29)&gt;1,总课表!Q29,"")),"",IF(FIND($E$1,总课表!Q29)&gt;0,总课表!Q29,""))</f>
        <v/>
      </c>
      <c r="R29" s="98" t="str">
        <f>IF(ISERROR(IF(FIND($E$1,总课表!R29)&gt;1,总课表!R29,"")),"",IF(FIND($E$1,总课表!R29)&gt;0,总课表!R29,""))</f>
        <v/>
      </c>
      <c r="S29" s="98" t="str">
        <f>IF(ISERROR(IF(FIND($E$1,总课表!S29)&gt;1,总课表!S29,"")),"",IF(FIND($E$1,总课表!S29)&gt;0,总课表!S29,""))</f>
        <v/>
      </c>
      <c r="T29" s="98" t="str">
        <f>IF(ISERROR(IF(FIND($E$1,总课表!T29)&gt;1,总课表!T29,"")),"",IF(FIND($E$1,总课表!T29)&gt;0,总课表!T29,""))</f>
        <v/>
      </c>
      <c r="U29" s="98" t="str">
        <f>IF(ISERROR(IF(FIND($E$1,总课表!U29)&gt;1,总课表!U29,"")),"",IF(FIND($E$1,总课表!U29)&gt;0,总课表!U29,""))</f>
        <v/>
      </c>
    </row>
  </sheetData>
  <mergeCells count="1">
    <mergeCell ref="E1:F1"/>
  </mergeCells>
  <phoneticPr fontId="36" type="noConversion"/>
  <pageMargins left="0.23622047244094499" right="0.23622047244094499" top="0.35433070866141703" bottom="0.35433070866141703" header="0.31496062992126" footer="0.31496062992126"/>
  <pageSetup paperSize="9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教师姓名!$A:$A</xm:f>
          </x14:formula1>
          <xm:sqref>E1:F1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2:C46"/>
  <sheetViews>
    <sheetView topLeftCell="A7" workbookViewId="0">
      <selection activeCell="D32" sqref="D32"/>
    </sheetView>
  </sheetViews>
  <sheetFormatPr defaultColWidth="9" defaultRowHeight="13" x14ac:dyDescent="0.25"/>
  <cols>
    <col min="1" max="1" width="9" style="87"/>
  </cols>
  <sheetData>
    <row r="2" spans="1:1" x14ac:dyDescent="0.25">
      <c r="A2" s="88" t="s">
        <v>380</v>
      </c>
    </row>
    <row r="3" spans="1:1" x14ac:dyDescent="0.25">
      <c r="A3" s="89" t="s">
        <v>381</v>
      </c>
    </row>
    <row r="4" spans="1:1" x14ac:dyDescent="0.25">
      <c r="A4" s="89" t="s">
        <v>382</v>
      </c>
    </row>
    <row r="5" spans="1:1" x14ac:dyDescent="0.25">
      <c r="A5" s="89" t="s">
        <v>383</v>
      </c>
    </row>
    <row r="6" spans="1:1" x14ac:dyDescent="0.25">
      <c r="A6" s="89" t="s">
        <v>384</v>
      </c>
    </row>
    <row r="7" spans="1:1" x14ac:dyDescent="0.25">
      <c r="A7" s="89" t="s">
        <v>385</v>
      </c>
    </row>
    <row r="8" spans="1:1" x14ac:dyDescent="0.25">
      <c r="A8" s="89" t="s">
        <v>386</v>
      </c>
    </row>
    <row r="9" spans="1:1" x14ac:dyDescent="0.25">
      <c r="A9" s="87" t="s">
        <v>387</v>
      </c>
    </row>
    <row r="10" spans="1:1" x14ac:dyDescent="0.25">
      <c r="A10" s="90" t="s">
        <v>388</v>
      </c>
    </row>
    <row r="11" spans="1:1" x14ac:dyDescent="0.25">
      <c r="A11" s="87" t="s">
        <v>389</v>
      </c>
    </row>
    <row r="12" spans="1:1" x14ac:dyDescent="0.25">
      <c r="A12" s="90" t="s">
        <v>390</v>
      </c>
    </row>
    <row r="13" spans="1:1" x14ac:dyDescent="0.25">
      <c r="A13" s="90" t="s">
        <v>391</v>
      </c>
    </row>
    <row r="14" spans="1:1" x14ac:dyDescent="0.25">
      <c r="A14" s="87" t="s">
        <v>392</v>
      </c>
    </row>
    <row r="15" spans="1:1" x14ac:dyDescent="0.25">
      <c r="A15" s="87" t="s">
        <v>393</v>
      </c>
    </row>
    <row r="16" spans="1:1" x14ac:dyDescent="0.25">
      <c r="A16" s="87" t="s">
        <v>394</v>
      </c>
    </row>
    <row r="17" spans="1:1" x14ac:dyDescent="0.25">
      <c r="A17" s="87" t="s">
        <v>395</v>
      </c>
    </row>
    <row r="18" spans="1:1" x14ac:dyDescent="0.25">
      <c r="A18" s="87" t="s">
        <v>396</v>
      </c>
    </row>
    <row r="19" spans="1:1" x14ac:dyDescent="0.25">
      <c r="A19" s="87" t="s">
        <v>397</v>
      </c>
    </row>
    <row r="20" spans="1:1" x14ac:dyDescent="0.25">
      <c r="A20" s="87" t="s">
        <v>398</v>
      </c>
    </row>
    <row r="21" spans="1:1" x14ac:dyDescent="0.25">
      <c r="A21" s="87" t="s">
        <v>399</v>
      </c>
    </row>
    <row r="22" spans="1:1" x14ac:dyDescent="0.25">
      <c r="A22" s="87" t="s">
        <v>400</v>
      </c>
    </row>
    <row r="23" spans="1:1" x14ac:dyDescent="0.25">
      <c r="A23" s="87" t="s">
        <v>401</v>
      </c>
    </row>
    <row r="24" spans="1:1" x14ac:dyDescent="0.25">
      <c r="A24" s="87" t="s">
        <v>402</v>
      </c>
    </row>
    <row r="25" spans="1:1" x14ac:dyDescent="0.25">
      <c r="A25" s="87" t="s">
        <v>403</v>
      </c>
    </row>
    <row r="26" spans="1:1" x14ac:dyDescent="0.25">
      <c r="A26" s="87" t="s">
        <v>404</v>
      </c>
    </row>
    <row r="27" spans="1:1" x14ac:dyDescent="0.25">
      <c r="A27" s="87" t="s">
        <v>405</v>
      </c>
    </row>
    <row r="28" spans="1:1" x14ac:dyDescent="0.25">
      <c r="A28" s="91" t="s">
        <v>406</v>
      </c>
    </row>
    <row r="29" spans="1:1" x14ac:dyDescent="0.25">
      <c r="A29" s="87" t="s">
        <v>407</v>
      </c>
    </row>
    <row r="30" spans="1:1" x14ac:dyDescent="0.25">
      <c r="A30" s="87" t="s">
        <v>408</v>
      </c>
    </row>
    <row r="31" spans="1:1" x14ac:dyDescent="0.25">
      <c r="A31" s="87" t="s">
        <v>409</v>
      </c>
    </row>
    <row r="32" spans="1:1" x14ac:dyDescent="0.25">
      <c r="A32" s="91" t="s">
        <v>410</v>
      </c>
    </row>
    <row r="33" spans="1:3" x14ac:dyDescent="0.25">
      <c r="A33" s="91" t="s">
        <v>411</v>
      </c>
      <c r="B33" s="92" t="s">
        <v>412</v>
      </c>
      <c r="C33" s="92"/>
    </row>
    <row r="34" spans="1:3" x14ac:dyDescent="0.25">
      <c r="A34" s="91" t="s">
        <v>413</v>
      </c>
      <c r="B34" s="92" t="s">
        <v>414</v>
      </c>
      <c r="C34" s="92"/>
    </row>
    <row r="35" spans="1:3" x14ac:dyDescent="0.25">
      <c r="A35" s="91" t="s">
        <v>375</v>
      </c>
      <c r="B35" s="92" t="s">
        <v>415</v>
      </c>
      <c r="C35" s="92"/>
    </row>
    <row r="36" spans="1:3" x14ac:dyDescent="0.25">
      <c r="A36" s="91" t="s">
        <v>416</v>
      </c>
    </row>
    <row r="37" spans="1:3" x14ac:dyDescent="0.25">
      <c r="A37" s="87" t="s">
        <v>417</v>
      </c>
    </row>
    <row r="38" spans="1:3" x14ac:dyDescent="0.25">
      <c r="A38" s="87" t="s">
        <v>418</v>
      </c>
    </row>
    <row r="39" spans="1:3" x14ac:dyDescent="0.25">
      <c r="A39" s="87" t="s">
        <v>419</v>
      </c>
    </row>
    <row r="40" spans="1:3" x14ac:dyDescent="0.25">
      <c r="A40" s="87" t="s">
        <v>420</v>
      </c>
    </row>
    <row r="41" spans="1:3" x14ac:dyDescent="0.25">
      <c r="A41" s="87" t="s">
        <v>421</v>
      </c>
    </row>
    <row r="42" spans="1:3" x14ac:dyDescent="0.25">
      <c r="A42" s="87" t="s">
        <v>422</v>
      </c>
    </row>
    <row r="43" spans="1:3" x14ac:dyDescent="0.25">
      <c r="A43" s="87" t="s">
        <v>423</v>
      </c>
    </row>
    <row r="44" spans="1:3" x14ac:dyDescent="0.25">
      <c r="A44" s="87" t="s">
        <v>424</v>
      </c>
    </row>
    <row r="45" spans="1:3" x14ac:dyDescent="0.25">
      <c r="A45" s="87" t="s">
        <v>425</v>
      </c>
    </row>
    <row r="46" spans="1:3" x14ac:dyDescent="0.25">
      <c r="A46" s="87" t="s">
        <v>426</v>
      </c>
    </row>
  </sheetData>
  <sortState xmlns:xlrd2="http://schemas.microsoft.com/office/spreadsheetml/2017/richdata2" ref="A2:A23">
    <sortCondition descending="1" ref="A2"/>
  </sortState>
  <phoneticPr fontId="36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238"/>
  <sheetViews>
    <sheetView tabSelected="1" workbookViewId="0">
      <pane xSplit="1" ySplit="2" topLeftCell="B17" activePane="bottomRight" state="frozen"/>
      <selection pane="topRight"/>
      <selection pane="bottomLeft"/>
      <selection pane="bottomRight" activeCell="G19" sqref="G19"/>
    </sheetView>
  </sheetViews>
  <sheetFormatPr defaultColWidth="8.8984375" defaultRowHeight="15" x14ac:dyDescent="0.25"/>
  <cols>
    <col min="1" max="1" width="5.09765625" style="11" customWidth="1"/>
    <col min="2" max="2" width="36.8984375" style="11" customWidth="1"/>
    <col min="3" max="3" width="6.59765625" style="12" customWidth="1"/>
    <col min="4" max="4" width="3.796875" style="12" customWidth="1"/>
    <col min="5" max="6" width="3.19921875" style="12" customWidth="1"/>
    <col min="7" max="7" width="3.19921875" style="203" customWidth="1"/>
    <col min="8" max="11" width="3.19921875" style="12" customWidth="1"/>
    <col min="12" max="21" width="3.19921875" style="13" customWidth="1"/>
    <col min="22" max="22" width="3.19921875" style="14" customWidth="1"/>
    <col min="23" max="23" width="4.796875" style="13" customWidth="1"/>
    <col min="24" max="24" width="7.59765625" style="15" customWidth="1"/>
  </cols>
  <sheetData>
    <row r="1" spans="1:24" ht="33" customHeight="1" x14ac:dyDescent="0.25">
      <c r="A1" s="148" t="s">
        <v>427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1"/>
      <c r="W1" s="150"/>
      <c r="X1" s="152"/>
    </row>
    <row r="2" spans="1:24" ht="34" customHeight="1" x14ac:dyDescent="0.25">
      <c r="A2" s="16" t="s">
        <v>428</v>
      </c>
      <c r="B2" s="17" t="s">
        <v>429</v>
      </c>
      <c r="C2" s="17" t="s">
        <v>430</v>
      </c>
      <c r="D2" s="17" t="s">
        <v>431</v>
      </c>
      <c r="E2" s="17">
        <v>1</v>
      </c>
      <c r="F2" s="17">
        <v>2</v>
      </c>
      <c r="G2" s="181">
        <v>3</v>
      </c>
      <c r="H2" s="17">
        <v>4</v>
      </c>
      <c r="I2" s="17">
        <v>5</v>
      </c>
      <c r="J2" s="17">
        <v>6</v>
      </c>
      <c r="K2" s="17">
        <v>7</v>
      </c>
      <c r="L2" s="17">
        <v>8</v>
      </c>
      <c r="M2" s="39">
        <v>9</v>
      </c>
      <c r="N2" s="17">
        <v>10</v>
      </c>
      <c r="O2" s="17">
        <v>11</v>
      </c>
      <c r="P2" s="17">
        <v>12</v>
      </c>
      <c r="Q2" s="17">
        <v>13</v>
      </c>
      <c r="R2" s="17">
        <v>14</v>
      </c>
      <c r="S2" s="17">
        <v>15</v>
      </c>
      <c r="T2" s="17">
        <v>16</v>
      </c>
      <c r="U2" s="17">
        <v>17</v>
      </c>
      <c r="V2" s="17">
        <v>18</v>
      </c>
      <c r="W2" s="42" t="s">
        <v>432</v>
      </c>
      <c r="X2" s="43" t="s">
        <v>433</v>
      </c>
    </row>
    <row r="3" spans="1:24" ht="16" customHeight="1" x14ac:dyDescent="0.25">
      <c r="A3" s="145" t="s">
        <v>434</v>
      </c>
      <c r="B3" s="19" t="s">
        <v>435</v>
      </c>
      <c r="C3" s="20" t="s">
        <v>436</v>
      </c>
      <c r="D3" s="20">
        <v>6</v>
      </c>
      <c r="E3" s="21"/>
      <c r="F3" s="21"/>
      <c r="G3" s="182" t="s">
        <v>437</v>
      </c>
      <c r="H3" s="21"/>
      <c r="I3" s="21"/>
      <c r="J3" s="21"/>
      <c r="K3" s="174" t="s">
        <v>438</v>
      </c>
      <c r="L3" s="175"/>
      <c r="M3" s="40"/>
      <c r="N3" s="40"/>
      <c r="O3" s="40"/>
      <c r="P3" s="40"/>
      <c r="Q3" s="40"/>
      <c r="R3" s="40"/>
      <c r="S3" s="40"/>
      <c r="T3" s="40"/>
      <c r="U3" s="44"/>
      <c r="V3" s="45"/>
      <c r="W3" s="46" t="s">
        <v>439</v>
      </c>
      <c r="X3" s="32" t="s">
        <v>416</v>
      </c>
    </row>
    <row r="4" spans="1:24" ht="16" customHeight="1" x14ac:dyDescent="0.25">
      <c r="A4" s="145"/>
      <c r="B4" s="22" t="s">
        <v>440</v>
      </c>
      <c r="C4" s="23" t="s">
        <v>436</v>
      </c>
      <c r="D4" s="20">
        <v>6</v>
      </c>
      <c r="E4" s="21"/>
      <c r="F4" s="21"/>
      <c r="G4" s="183"/>
      <c r="H4" s="21"/>
      <c r="I4" s="21"/>
      <c r="J4" s="21"/>
      <c r="K4" s="176"/>
      <c r="L4" s="177"/>
      <c r="M4" s="40"/>
      <c r="N4" s="40"/>
      <c r="O4" s="40"/>
      <c r="P4" s="40"/>
      <c r="Q4" s="40"/>
      <c r="R4" s="40"/>
      <c r="S4" s="40"/>
      <c r="T4" s="40"/>
      <c r="U4" s="44"/>
      <c r="V4" s="45"/>
      <c r="W4" s="46" t="s">
        <v>441</v>
      </c>
      <c r="X4" s="47" t="s">
        <v>417</v>
      </c>
    </row>
    <row r="5" spans="1:24" ht="16" customHeight="1" x14ac:dyDescent="0.25">
      <c r="A5" s="145"/>
      <c r="B5" s="24" t="s">
        <v>442</v>
      </c>
      <c r="C5" s="25" t="s">
        <v>436</v>
      </c>
      <c r="D5" s="20">
        <v>2</v>
      </c>
      <c r="E5" s="21"/>
      <c r="F5" s="21"/>
      <c r="G5" s="183"/>
      <c r="H5" s="21"/>
      <c r="I5" s="21"/>
      <c r="J5" s="21"/>
      <c r="K5" s="176"/>
      <c r="L5" s="177"/>
      <c r="M5" s="40"/>
      <c r="N5" s="40"/>
      <c r="O5" s="40"/>
      <c r="P5" s="40"/>
      <c r="Q5" s="40"/>
      <c r="R5" s="40"/>
      <c r="S5" s="40"/>
      <c r="T5" s="40"/>
      <c r="U5" s="44"/>
      <c r="V5" s="45"/>
      <c r="W5" s="46" t="s">
        <v>439</v>
      </c>
      <c r="X5" s="32" t="s">
        <v>418</v>
      </c>
    </row>
    <row r="6" spans="1:24" ht="16" customHeight="1" x14ac:dyDescent="0.25">
      <c r="A6" s="145"/>
      <c r="B6" s="124" t="s">
        <v>443</v>
      </c>
      <c r="C6" s="27" t="s">
        <v>436</v>
      </c>
      <c r="D6" s="28">
        <v>2</v>
      </c>
      <c r="E6" s="130"/>
      <c r="F6" s="125"/>
      <c r="G6" s="183"/>
      <c r="H6" s="125"/>
      <c r="I6" s="205"/>
      <c r="J6" s="125"/>
      <c r="K6" s="176"/>
      <c r="L6" s="177"/>
      <c r="M6" s="40"/>
      <c r="N6" s="40"/>
      <c r="O6" s="40"/>
      <c r="P6" s="40"/>
      <c r="Q6" s="40"/>
      <c r="R6" s="40"/>
      <c r="S6" s="40"/>
      <c r="T6" s="40"/>
      <c r="U6" s="44"/>
      <c r="V6" s="45"/>
      <c r="W6" s="128" t="s">
        <v>439</v>
      </c>
      <c r="X6" s="129" t="s">
        <v>392</v>
      </c>
    </row>
    <row r="7" spans="1:24" ht="16" customHeight="1" x14ac:dyDescent="0.25">
      <c r="A7" s="145"/>
      <c r="B7" s="26" t="s">
        <v>444</v>
      </c>
      <c r="C7" s="27" t="s">
        <v>436</v>
      </c>
      <c r="D7" s="28">
        <v>2</v>
      </c>
      <c r="E7" s="29"/>
      <c r="F7" s="29"/>
      <c r="G7" s="183"/>
      <c r="H7" s="29"/>
      <c r="I7" s="29"/>
      <c r="J7" s="29"/>
      <c r="K7" s="176"/>
      <c r="L7" s="177"/>
      <c r="M7" s="40"/>
      <c r="N7" s="40"/>
      <c r="O7" s="40"/>
      <c r="P7" s="40"/>
      <c r="Q7" s="40"/>
      <c r="R7" s="40"/>
      <c r="S7" s="40"/>
      <c r="T7" s="40"/>
      <c r="U7" s="44"/>
      <c r="V7" s="45"/>
      <c r="W7" s="46" t="s">
        <v>439</v>
      </c>
      <c r="X7" s="32"/>
    </row>
    <row r="8" spans="1:24" ht="16" customHeight="1" x14ac:dyDescent="0.25">
      <c r="A8" s="145"/>
      <c r="B8" s="26" t="s">
        <v>438</v>
      </c>
      <c r="C8" s="27" t="s">
        <v>445</v>
      </c>
      <c r="D8" s="28">
        <v>1</v>
      </c>
      <c r="E8" s="29"/>
      <c r="F8" s="29"/>
      <c r="G8" s="184"/>
      <c r="H8" s="29"/>
      <c r="I8" s="29"/>
      <c r="J8" s="29"/>
      <c r="K8" s="178"/>
      <c r="L8" s="179"/>
      <c r="M8" s="40"/>
      <c r="N8" s="40"/>
      <c r="O8" s="40"/>
      <c r="P8" s="40"/>
      <c r="Q8" s="40"/>
      <c r="R8" s="40"/>
      <c r="S8" s="40"/>
      <c r="T8" s="40"/>
      <c r="U8" s="44"/>
      <c r="V8" s="45"/>
      <c r="W8" s="46" t="s">
        <v>439</v>
      </c>
      <c r="X8" s="32"/>
    </row>
    <row r="9" spans="1:24" ht="16" customHeight="1" x14ac:dyDescent="0.25">
      <c r="A9" s="145" t="s">
        <v>446</v>
      </c>
      <c r="B9" s="19" t="s">
        <v>435</v>
      </c>
      <c r="C9" s="20" t="s">
        <v>436</v>
      </c>
      <c r="D9" s="20">
        <v>6</v>
      </c>
      <c r="E9" s="21"/>
      <c r="F9" s="21"/>
      <c r="G9" s="182" t="s">
        <v>437</v>
      </c>
      <c r="H9" s="21"/>
      <c r="I9" s="21"/>
      <c r="J9" s="21"/>
      <c r="K9" s="174" t="s">
        <v>438</v>
      </c>
      <c r="L9" s="175"/>
      <c r="M9" s="40"/>
      <c r="N9" s="40"/>
      <c r="O9" s="40"/>
      <c r="P9" s="40"/>
      <c r="Q9" s="40"/>
      <c r="R9" s="40"/>
      <c r="S9" s="40"/>
      <c r="T9" s="40"/>
      <c r="U9" s="44"/>
      <c r="V9" s="45"/>
      <c r="W9" s="46" t="s">
        <v>439</v>
      </c>
      <c r="X9" s="32" t="s">
        <v>416</v>
      </c>
    </row>
    <row r="10" spans="1:24" ht="16" customHeight="1" x14ac:dyDescent="0.25">
      <c r="A10" s="145"/>
      <c r="B10" s="22" t="s">
        <v>440</v>
      </c>
      <c r="C10" s="23" t="s">
        <v>436</v>
      </c>
      <c r="D10" s="20">
        <v>6</v>
      </c>
      <c r="E10" s="21"/>
      <c r="F10" s="21"/>
      <c r="G10" s="183"/>
      <c r="H10" s="21"/>
      <c r="I10" s="21"/>
      <c r="J10" s="21"/>
      <c r="K10" s="176"/>
      <c r="L10" s="177"/>
      <c r="M10" s="40"/>
      <c r="N10" s="40"/>
      <c r="O10" s="40"/>
      <c r="P10" s="40"/>
      <c r="Q10" s="40"/>
      <c r="R10" s="40"/>
      <c r="S10" s="40"/>
      <c r="T10" s="40"/>
      <c r="U10" s="44"/>
      <c r="V10" s="45"/>
      <c r="W10" s="46" t="s">
        <v>441</v>
      </c>
      <c r="X10" s="47" t="s">
        <v>417</v>
      </c>
    </row>
    <row r="11" spans="1:24" ht="16" customHeight="1" x14ac:dyDescent="0.25">
      <c r="A11" s="145"/>
      <c r="B11" s="24" t="s">
        <v>442</v>
      </c>
      <c r="C11" s="25" t="s">
        <v>436</v>
      </c>
      <c r="D11" s="20">
        <v>2</v>
      </c>
      <c r="E11" s="21"/>
      <c r="F11" s="21"/>
      <c r="G11" s="183"/>
      <c r="H11" s="21"/>
      <c r="I11" s="21"/>
      <c r="J11" s="21"/>
      <c r="K11" s="176"/>
      <c r="L11" s="177"/>
      <c r="M11" s="40"/>
      <c r="N11" s="40"/>
      <c r="O11" s="40"/>
      <c r="P11" s="40"/>
      <c r="Q11" s="40"/>
      <c r="R11" s="40"/>
      <c r="S11" s="40"/>
      <c r="T11" s="40"/>
      <c r="U11" s="44"/>
      <c r="V11" s="45"/>
      <c r="W11" s="46" t="s">
        <v>439</v>
      </c>
      <c r="X11" s="32" t="s">
        <v>418</v>
      </c>
    </row>
    <row r="12" spans="1:24" ht="16" customHeight="1" x14ac:dyDescent="0.25">
      <c r="A12" s="145"/>
      <c r="B12" s="124" t="s">
        <v>443</v>
      </c>
      <c r="C12" s="27" t="s">
        <v>436</v>
      </c>
      <c r="D12" s="28">
        <v>2</v>
      </c>
      <c r="E12" s="29"/>
      <c r="F12" s="125"/>
      <c r="G12" s="183"/>
      <c r="H12" s="125"/>
      <c r="I12" s="130"/>
      <c r="J12" s="125"/>
      <c r="K12" s="176"/>
      <c r="L12" s="177"/>
      <c r="M12" s="40"/>
      <c r="N12" s="40"/>
      <c r="O12" s="40"/>
      <c r="P12" s="40"/>
      <c r="Q12" s="40"/>
      <c r="R12" s="40"/>
      <c r="S12" s="40"/>
      <c r="T12" s="40"/>
      <c r="U12" s="44"/>
      <c r="V12" s="45"/>
      <c r="W12" s="128" t="s">
        <v>439</v>
      </c>
      <c r="X12" s="129" t="s">
        <v>392</v>
      </c>
    </row>
    <row r="13" spans="1:24" ht="16" customHeight="1" x14ac:dyDescent="0.25">
      <c r="A13" s="145"/>
      <c r="B13" s="26" t="s">
        <v>444</v>
      </c>
      <c r="C13" s="27" t="s">
        <v>436</v>
      </c>
      <c r="D13" s="28">
        <v>2</v>
      </c>
      <c r="E13" s="29"/>
      <c r="F13" s="29"/>
      <c r="G13" s="183"/>
      <c r="H13" s="29"/>
      <c r="I13" s="29"/>
      <c r="J13" s="29"/>
      <c r="K13" s="176"/>
      <c r="L13" s="177"/>
      <c r="M13" s="40"/>
      <c r="N13" s="40"/>
      <c r="O13" s="40"/>
      <c r="P13" s="40"/>
      <c r="Q13" s="40"/>
      <c r="R13" s="40"/>
      <c r="S13" s="40"/>
      <c r="T13" s="40"/>
      <c r="U13" s="44"/>
      <c r="V13" s="45"/>
      <c r="W13" s="46" t="s">
        <v>439</v>
      </c>
      <c r="X13" s="32"/>
    </row>
    <row r="14" spans="1:24" ht="16" customHeight="1" x14ac:dyDescent="0.25">
      <c r="A14" s="145"/>
      <c r="B14" s="26" t="s">
        <v>438</v>
      </c>
      <c r="C14" s="27" t="s">
        <v>445</v>
      </c>
      <c r="D14" s="28">
        <v>1</v>
      </c>
      <c r="E14" s="29"/>
      <c r="F14" s="29"/>
      <c r="G14" s="184"/>
      <c r="H14" s="29"/>
      <c r="I14" s="29"/>
      <c r="J14" s="29"/>
      <c r="K14" s="178"/>
      <c r="L14" s="179"/>
      <c r="M14" s="40"/>
      <c r="N14" s="40"/>
      <c r="O14" s="40"/>
      <c r="P14" s="40"/>
      <c r="Q14" s="40"/>
      <c r="R14" s="40"/>
      <c r="S14" s="40"/>
      <c r="T14" s="40"/>
      <c r="U14" s="44"/>
      <c r="V14" s="45"/>
      <c r="W14" s="46" t="s">
        <v>439</v>
      </c>
      <c r="X14" s="32"/>
    </row>
    <row r="15" spans="1:24" ht="16" customHeight="1" x14ac:dyDescent="0.25">
      <c r="A15" s="145" t="s">
        <v>447</v>
      </c>
      <c r="B15" s="19" t="s">
        <v>435</v>
      </c>
      <c r="C15" s="20" t="s">
        <v>436</v>
      </c>
      <c r="D15" s="20">
        <v>6</v>
      </c>
      <c r="E15" s="21"/>
      <c r="F15" s="21"/>
      <c r="G15" s="185"/>
      <c r="H15" s="21"/>
      <c r="I15" s="21"/>
      <c r="J15" s="153" t="s">
        <v>437</v>
      </c>
      <c r="K15" s="174" t="s">
        <v>438</v>
      </c>
      <c r="L15" s="175"/>
      <c r="M15" s="40"/>
      <c r="N15" s="40"/>
      <c r="O15" s="40"/>
      <c r="P15" s="40"/>
      <c r="Q15" s="40"/>
      <c r="R15" s="40"/>
      <c r="S15" s="40"/>
      <c r="T15" s="40"/>
      <c r="U15" s="44"/>
      <c r="V15" s="45"/>
      <c r="W15" s="46" t="s">
        <v>439</v>
      </c>
      <c r="X15" s="32" t="s">
        <v>416</v>
      </c>
    </row>
    <row r="16" spans="1:24" ht="16" customHeight="1" x14ac:dyDescent="0.25">
      <c r="A16" s="145"/>
      <c r="B16" s="22" t="s">
        <v>440</v>
      </c>
      <c r="C16" s="23" t="s">
        <v>436</v>
      </c>
      <c r="D16" s="20">
        <v>6</v>
      </c>
      <c r="E16" s="21"/>
      <c r="F16" s="21"/>
      <c r="G16" s="185"/>
      <c r="H16" s="21"/>
      <c r="I16" s="21"/>
      <c r="J16" s="154"/>
      <c r="K16" s="176"/>
      <c r="L16" s="177"/>
      <c r="M16" s="40"/>
      <c r="N16" s="40"/>
      <c r="O16" s="40"/>
      <c r="P16" s="40"/>
      <c r="Q16" s="40"/>
      <c r="R16" s="40"/>
      <c r="S16" s="40"/>
      <c r="T16" s="40"/>
      <c r="U16" s="44"/>
      <c r="V16" s="45"/>
      <c r="W16" s="46" t="s">
        <v>441</v>
      </c>
      <c r="X16" s="47" t="s">
        <v>417</v>
      </c>
    </row>
    <row r="17" spans="1:24" ht="16" customHeight="1" x14ac:dyDescent="0.25">
      <c r="A17" s="145"/>
      <c r="B17" s="24" t="s">
        <v>442</v>
      </c>
      <c r="C17" s="25" t="s">
        <v>436</v>
      </c>
      <c r="D17" s="20">
        <v>2</v>
      </c>
      <c r="E17" s="21"/>
      <c r="F17" s="21"/>
      <c r="G17" s="185"/>
      <c r="H17" s="21"/>
      <c r="I17" s="21"/>
      <c r="J17" s="154"/>
      <c r="K17" s="176"/>
      <c r="L17" s="177"/>
      <c r="M17" s="40"/>
      <c r="N17" s="40"/>
      <c r="O17" s="40"/>
      <c r="P17" s="40"/>
      <c r="Q17" s="40"/>
      <c r="R17" s="40"/>
      <c r="S17" s="40"/>
      <c r="T17" s="40"/>
      <c r="U17" s="44"/>
      <c r="V17" s="45"/>
      <c r="W17" s="46" t="s">
        <v>439</v>
      </c>
      <c r="X17" s="32" t="s">
        <v>418</v>
      </c>
    </row>
    <row r="18" spans="1:24" ht="16" customHeight="1" x14ac:dyDescent="0.25">
      <c r="A18" s="145"/>
      <c r="B18" s="26" t="s">
        <v>443</v>
      </c>
      <c r="C18" s="27" t="s">
        <v>436</v>
      </c>
      <c r="D18" s="28">
        <v>2</v>
      </c>
      <c r="E18" s="130"/>
      <c r="F18" s="125"/>
      <c r="G18" s="204"/>
      <c r="H18" s="125"/>
      <c r="I18" s="125"/>
      <c r="J18" s="154"/>
      <c r="K18" s="176"/>
      <c r="L18" s="177"/>
      <c r="M18" s="40"/>
      <c r="N18" s="40"/>
      <c r="O18" s="40"/>
      <c r="P18" s="40"/>
      <c r="Q18" s="40"/>
      <c r="R18" s="40"/>
      <c r="S18" s="40"/>
      <c r="T18" s="40"/>
      <c r="U18" s="44"/>
      <c r="V18" s="45"/>
      <c r="W18" s="46" t="s">
        <v>439</v>
      </c>
      <c r="X18" s="32" t="s">
        <v>392</v>
      </c>
    </row>
    <row r="19" spans="1:24" ht="16" customHeight="1" x14ac:dyDescent="0.25">
      <c r="A19" s="145"/>
      <c r="B19" s="26" t="s">
        <v>444</v>
      </c>
      <c r="C19" s="27" t="s">
        <v>436</v>
      </c>
      <c r="D19" s="28">
        <v>2</v>
      </c>
      <c r="E19" s="29"/>
      <c r="F19" s="29"/>
      <c r="G19" s="186"/>
      <c r="H19" s="29"/>
      <c r="I19" s="29"/>
      <c r="J19" s="154"/>
      <c r="K19" s="176"/>
      <c r="L19" s="177"/>
      <c r="M19" s="40"/>
      <c r="N19" s="40"/>
      <c r="O19" s="40"/>
      <c r="P19" s="40"/>
      <c r="Q19" s="40"/>
      <c r="R19" s="40"/>
      <c r="S19" s="40"/>
      <c r="T19" s="40"/>
      <c r="U19" s="44"/>
      <c r="V19" s="45"/>
      <c r="W19" s="46" t="s">
        <v>439</v>
      </c>
      <c r="X19" s="32"/>
    </row>
    <row r="20" spans="1:24" ht="16" customHeight="1" x14ac:dyDescent="0.25">
      <c r="A20" s="145"/>
      <c r="B20" s="26" t="s">
        <v>438</v>
      </c>
      <c r="C20" s="27" t="s">
        <v>445</v>
      </c>
      <c r="D20" s="28">
        <v>1</v>
      </c>
      <c r="E20" s="29"/>
      <c r="F20" s="29"/>
      <c r="G20" s="186"/>
      <c r="H20" s="29"/>
      <c r="I20" s="29"/>
      <c r="J20" s="155"/>
      <c r="K20" s="178"/>
      <c r="L20" s="179"/>
      <c r="M20" s="40"/>
      <c r="N20" s="40"/>
      <c r="O20" s="40"/>
      <c r="P20" s="40"/>
      <c r="Q20" s="40"/>
      <c r="R20" s="40"/>
      <c r="S20" s="40"/>
      <c r="T20" s="40"/>
      <c r="U20" s="44"/>
      <c r="V20" s="45"/>
      <c r="W20" s="46" t="s">
        <v>439</v>
      </c>
      <c r="X20" s="32"/>
    </row>
    <row r="21" spans="1:24" ht="16" customHeight="1" x14ac:dyDescent="0.25">
      <c r="A21" s="145" t="s">
        <v>448</v>
      </c>
      <c r="B21" s="19" t="s">
        <v>435</v>
      </c>
      <c r="C21" s="20" t="s">
        <v>436</v>
      </c>
      <c r="D21" s="20">
        <v>6</v>
      </c>
      <c r="E21" s="21"/>
      <c r="F21" s="21"/>
      <c r="G21" s="185"/>
      <c r="H21" s="21"/>
      <c r="I21" s="21"/>
      <c r="J21" s="153" t="s">
        <v>437</v>
      </c>
      <c r="K21" s="174" t="s">
        <v>438</v>
      </c>
      <c r="L21" s="175"/>
      <c r="M21" s="40"/>
      <c r="N21" s="40"/>
      <c r="O21" s="40"/>
      <c r="P21" s="40"/>
      <c r="Q21" s="40"/>
      <c r="R21" s="40"/>
      <c r="S21" s="40"/>
      <c r="T21" s="40"/>
      <c r="U21" s="44"/>
      <c r="V21" s="45"/>
      <c r="W21" s="46" t="s">
        <v>439</v>
      </c>
      <c r="X21" s="32" t="s">
        <v>416</v>
      </c>
    </row>
    <row r="22" spans="1:24" ht="16" customHeight="1" x14ac:dyDescent="0.25">
      <c r="A22" s="145"/>
      <c r="B22" s="22" t="s">
        <v>440</v>
      </c>
      <c r="C22" s="23" t="s">
        <v>436</v>
      </c>
      <c r="D22" s="20">
        <v>6</v>
      </c>
      <c r="E22" s="21"/>
      <c r="F22" s="21"/>
      <c r="G22" s="185"/>
      <c r="H22" s="21"/>
      <c r="I22" s="21"/>
      <c r="J22" s="154"/>
      <c r="K22" s="176"/>
      <c r="L22" s="177"/>
      <c r="M22" s="40"/>
      <c r="N22" s="40"/>
      <c r="O22" s="40"/>
      <c r="P22" s="40"/>
      <c r="Q22" s="40"/>
      <c r="R22" s="40"/>
      <c r="S22" s="40"/>
      <c r="T22" s="40"/>
      <c r="U22" s="44"/>
      <c r="V22" s="45"/>
      <c r="W22" s="46" t="s">
        <v>441</v>
      </c>
      <c r="X22" s="47" t="s">
        <v>417</v>
      </c>
    </row>
    <row r="23" spans="1:24" ht="16" customHeight="1" x14ac:dyDescent="0.25">
      <c r="A23" s="145"/>
      <c r="B23" s="24" t="s">
        <v>442</v>
      </c>
      <c r="C23" s="25" t="s">
        <v>436</v>
      </c>
      <c r="D23" s="20">
        <v>2</v>
      </c>
      <c r="E23" s="21"/>
      <c r="F23" s="21"/>
      <c r="G23" s="185"/>
      <c r="H23" s="21"/>
      <c r="I23" s="21"/>
      <c r="J23" s="154"/>
      <c r="K23" s="176"/>
      <c r="L23" s="177"/>
      <c r="M23" s="40"/>
      <c r="N23" s="40"/>
      <c r="O23" s="40"/>
      <c r="P23" s="40"/>
      <c r="Q23" s="40"/>
      <c r="R23" s="40"/>
      <c r="S23" s="40"/>
      <c r="T23" s="40"/>
      <c r="U23" s="44"/>
      <c r="V23" s="45"/>
      <c r="W23" s="46" t="s">
        <v>439</v>
      </c>
      <c r="X23" s="32" t="s">
        <v>418</v>
      </c>
    </row>
    <row r="24" spans="1:24" ht="16" customHeight="1" x14ac:dyDescent="0.25">
      <c r="A24" s="145"/>
      <c r="B24" s="26" t="s">
        <v>443</v>
      </c>
      <c r="C24" s="27" t="s">
        <v>436</v>
      </c>
      <c r="D24" s="28">
        <v>2</v>
      </c>
      <c r="E24" s="130"/>
      <c r="F24" s="125"/>
      <c r="G24" s="204"/>
      <c r="H24" s="125"/>
      <c r="I24" s="125"/>
      <c r="J24" s="154"/>
      <c r="K24" s="176"/>
      <c r="L24" s="177"/>
      <c r="M24" s="40"/>
      <c r="N24" s="40"/>
      <c r="O24" s="40"/>
      <c r="P24" s="40"/>
      <c r="Q24" s="40"/>
      <c r="R24" s="40"/>
      <c r="S24" s="40"/>
      <c r="T24" s="40"/>
      <c r="U24" s="44"/>
      <c r="V24" s="45"/>
      <c r="W24" s="46" t="s">
        <v>439</v>
      </c>
      <c r="X24" s="32" t="s">
        <v>392</v>
      </c>
    </row>
    <row r="25" spans="1:24" ht="16" customHeight="1" x14ac:dyDescent="0.25">
      <c r="A25" s="145"/>
      <c r="B25" s="26" t="s">
        <v>444</v>
      </c>
      <c r="C25" s="27" t="s">
        <v>436</v>
      </c>
      <c r="D25" s="28">
        <v>2</v>
      </c>
      <c r="E25" s="29"/>
      <c r="F25" s="29"/>
      <c r="G25" s="186"/>
      <c r="H25" s="29"/>
      <c r="I25" s="29"/>
      <c r="J25" s="154"/>
      <c r="K25" s="176"/>
      <c r="L25" s="177"/>
      <c r="M25" s="40"/>
      <c r="N25" s="40"/>
      <c r="O25" s="40"/>
      <c r="P25" s="40"/>
      <c r="Q25" s="40"/>
      <c r="R25" s="40"/>
      <c r="S25" s="40"/>
      <c r="T25" s="40"/>
      <c r="U25" s="44"/>
      <c r="V25" s="45"/>
      <c r="W25" s="46" t="s">
        <v>439</v>
      </c>
      <c r="X25" s="32"/>
    </row>
    <row r="26" spans="1:24" ht="16" customHeight="1" x14ac:dyDescent="0.25">
      <c r="A26" s="145"/>
      <c r="B26" s="26" t="s">
        <v>438</v>
      </c>
      <c r="C26" s="27" t="s">
        <v>445</v>
      </c>
      <c r="D26" s="28">
        <v>1</v>
      </c>
      <c r="E26" s="29"/>
      <c r="F26" s="29"/>
      <c r="G26" s="186"/>
      <c r="H26" s="29"/>
      <c r="I26" s="29"/>
      <c r="J26" s="155"/>
      <c r="K26" s="178"/>
      <c r="L26" s="179"/>
      <c r="M26" s="40"/>
      <c r="N26" s="40"/>
      <c r="O26" s="40"/>
      <c r="P26" s="40"/>
      <c r="Q26" s="40"/>
      <c r="R26" s="40"/>
      <c r="S26" s="40"/>
      <c r="T26" s="40"/>
      <c r="U26" s="44"/>
      <c r="V26" s="45"/>
      <c r="W26" s="46" t="s">
        <v>439</v>
      </c>
      <c r="X26" s="32"/>
    </row>
    <row r="27" spans="1:24" ht="16" customHeight="1" x14ac:dyDescent="0.25">
      <c r="A27" s="147" t="s">
        <v>449</v>
      </c>
      <c r="B27" s="19" t="s">
        <v>450</v>
      </c>
      <c r="C27" s="27" t="s">
        <v>436</v>
      </c>
      <c r="D27" s="20">
        <v>6</v>
      </c>
      <c r="E27" s="21"/>
      <c r="F27" s="21"/>
      <c r="G27" s="185"/>
      <c r="H27" s="21"/>
      <c r="I27" s="21"/>
      <c r="J27" s="21"/>
      <c r="K27" s="153" t="s">
        <v>437</v>
      </c>
      <c r="L27" s="167" t="s">
        <v>451</v>
      </c>
      <c r="M27" s="40"/>
      <c r="N27" s="40"/>
      <c r="O27" s="40"/>
      <c r="P27" s="40"/>
      <c r="Q27" s="40"/>
      <c r="R27" s="40"/>
      <c r="S27" s="40"/>
      <c r="T27" s="40"/>
      <c r="U27" s="44"/>
      <c r="V27" s="33"/>
      <c r="W27" s="46" t="s">
        <v>441</v>
      </c>
      <c r="X27" s="32" t="s">
        <v>390</v>
      </c>
    </row>
    <row r="28" spans="1:24" ht="16" customHeight="1" x14ac:dyDescent="0.25">
      <c r="A28" s="147"/>
      <c r="B28" s="22" t="s">
        <v>452</v>
      </c>
      <c r="C28" s="27" t="s">
        <v>436</v>
      </c>
      <c r="D28" s="20">
        <v>6</v>
      </c>
      <c r="E28" s="21"/>
      <c r="F28" s="21"/>
      <c r="G28" s="185"/>
      <c r="H28" s="21"/>
      <c r="I28" s="21"/>
      <c r="J28" s="21"/>
      <c r="K28" s="154"/>
      <c r="L28" s="168"/>
      <c r="M28" s="40"/>
      <c r="N28" s="40"/>
      <c r="O28" s="40"/>
      <c r="P28" s="40"/>
      <c r="Q28" s="40"/>
      <c r="R28" s="40"/>
      <c r="S28" s="40"/>
      <c r="T28" s="40"/>
      <c r="U28" s="44"/>
      <c r="V28" s="33"/>
      <c r="W28" s="46" t="s">
        <v>441</v>
      </c>
      <c r="X28" s="47" t="s">
        <v>419</v>
      </c>
    </row>
    <row r="29" spans="1:24" ht="16" customHeight="1" x14ac:dyDescent="0.25">
      <c r="A29" s="147"/>
      <c r="B29" s="24" t="s">
        <v>453</v>
      </c>
      <c r="C29" s="27" t="s">
        <v>436</v>
      </c>
      <c r="D29" s="20">
        <v>4</v>
      </c>
      <c r="E29" s="21"/>
      <c r="F29" s="21"/>
      <c r="G29" s="185"/>
      <c r="H29" s="21"/>
      <c r="I29" s="21"/>
      <c r="J29" s="21"/>
      <c r="K29" s="154"/>
      <c r="L29" s="168"/>
      <c r="M29" s="40"/>
      <c r="N29" s="40"/>
      <c r="O29" s="40"/>
      <c r="P29" s="40"/>
      <c r="Q29" s="40"/>
      <c r="R29" s="40"/>
      <c r="S29" s="40"/>
      <c r="T29" s="40"/>
      <c r="U29" s="44"/>
      <c r="V29" s="33"/>
      <c r="W29" s="46" t="s">
        <v>439</v>
      </c>
      <c r="X29" s="32" t="s">
        <v>408</v>
      </c>
    </row>
    <row r="30" spans="1:24" ht="16" customHeight="1" x14ac:dyDescent="0.25">
      <c r="A30" s="147"/>
      <c r="B30" s="26" t="s">
        <v>454</v>
      </c>
      <c r="C30" s="27" t="s">
        <v>436</v>
      </c>
      <c r="D30" s="28">
        <v>6</v>
      </c>
      <c r="E30" s="29"/>
      <c r="F30" s="29"/>
      <c r="G30" s="186"/>
      <c r="H30" s="29"/>
      <c r="I30" s="29"/>
      <c r="J30" s="29"/>
      <c r="K30" s="154"/>
      <c r="L30" s="168"/>
      <c r="M30" s="40"/>
      <c r="N30" s="40"/>
      <c r="O30" s="40"/>
      <c r="P30" s="40"/>
      <c r="Q30" s="40"/>
      <c r="R30" s="40"/>
      <c r="S30" s="40"/>
      <c r="T30" s="40"/>
      <c r="U30" s="44"/>
      <c r="V30" s="33"/>
      <c r="W30" s="46" t="s">
        <v>439</v>
      </c>
      <c r="X30" s="32" t="s">
        <v>398</v>
      </c>
    </row>
    <row r="31" spans="1:24" ht="16" customHeight="1" x14ac:dyDescent="0.25">
      <c r="A31" s="147"/>
      <c r="B31" s="26" t="s">
        <v>444</v>
      </c>
      <c r="C31" s="27" t="s">
        <v>436</v>
      </c>
      <c r="D31" s="28">
        <v>2</v>
      </c>
      <c r="E31" s="29"/>
      <c r="F31" s="29"/>
      <c r="G31" s="186"/>
      <c r="H31" s="29"/>
      <c r="I31" s="29"/>
      <c r="J31" s="29"/>
      <c r="K31" s="154"/>
      <c r="L31" s="168"/>
      <c r="M31" s="40"/>
      <c r="N31" s="40"/>
      <c r="O31" s="40"/>
      <c r="P31" s="40"/>
      <c r="Q31" s="40"/>
      <c r="R31" s="40"/>
      <c r="S31" s="40"/>
      <c r="T31" s="40"/>
      <c r="U31" s="44"/>
      <c r="V31" s="33"/>
      <c r="W31" s="46" t="s">
        <v>439</v>
      </c>
      <c r="X31" s="32"/>
    </row>
    <row r="32" spans="1:24" ht="16" customHeight="1" x14ac:dyDescent="0.25">
      <c r="A32" s="147"/>
      <c r="B32" s="26" t="s">
        <v>442</v>
      </c>
      <c r="C32" s="27" t="s">
        <v>436</v>
      </c>
      <c r="D32" s="28">
        <v>2</v>
      </c>
      <c r="E32" s="29"/>
      <c r="F32" s="29"/>
      <c r="G32" s="186"/>
      <c r="H32" s="29"/>
      <c r="I32" s="29"/>
      <c r="J32" s="29"/>
      <c r="K32" s="154"/>
      <c r="L32" s="168"/>
      <c r="M32" s="40"/>
      <c r="N32" s="40"/>
      <c r="O32" s="40"/>
      <c r="P32" s="40"/>
      <c r="Q32" s="40"/>
      <c r="R32" s="40"/>
      <c r="S32" s="40"/>
      <c r="T32" s="40"/>
      <c r="U32" s="44"/>
      <c r="V32" s="33"/>
      <c r="W32" s="46" t="s">
        <v>439</v>
      </c>
      <c r="X32" s="32" t="s">
        <v>418</v>
      </c>
    </row>
    <row r="33" spans="1:24" ht="16" customHeight="1" x14ac:dyDescent="0.25">
      <c r="A33" s="147"/>
      <c r="B33" s="30" t="s">
        <v>451</v>
      </c>
      <c r="C33" s="27" t="s">
        <v>445</v>
      </c>
      <c r="D33" s="20"/>
      <c r="E33" s="21"/>
      <c r="F33" s="21"/>
      <c r="G33" s="185"/>
      <c r="H33" s="21"/>
      <c r="I33" s="21"/>
      <c r="J33" s="21"/>
      <c r="K33" s="155"/>
      <c r="L33" s="169"/>
      <c r="M33" s="41"/>
      <c r="N33" s="41"/>
      <c r="O33" s="41"/>
      <c r="P33" s="41"/>
      <c r="Q33" s="41"/>
      <c r="R33" s="41"/>
      <c r="S33" s="41"/>
      <c r="T33" s="41"/>
      <c r="U33" s="44"/>
      <c r="V33" s="33"/>
      <c r="W33" s="46" t="s">
        <v>439</v>
      </c>
      <c r="X33" s="32"/>
    </row>
    <row r="34" spans="1:24" ht="16" customHeight="1" x14ac:dyDescent="0.25">
      <c r="A34" s="147" t="s">
        <v>455</v>
      </c>
      <c r="B34" s="19" t="s">
        <v>450</v>
      </c>
      <c r="C34" s="27" t="s">
        <v>436</v>
      </c>
      <c r="D34" s="20">
        <v>6</v>
      </c>
      <c r="E34" s="21"/>
      <c r="F34" s="21"/>
      <c r="G34" s="185"/>
      <c r="H34" s="21"/>
      <c r="I34" s="21"/>
      <c r="J34" s="21"/>
      <c r="K34" s="153" t="s">
        <v>437</v>
      </c>
      <c r="L34" s="167" t="s">
        <v>451</v>
      </c>
      <c r="M34" s="40"/>
      <c r="N34" s="40"/>
      <c r="O34" s="40"/>
      <c r="P34" s="40"/>
      <c r="Q34" s="40"/>
      <c r="R34" s="40"/>
      <c r="S34" s="40"/>
      <c r="T34" s="40"/>
      <c r="U34" s="44"/>
      <c r="V34" s="33"/>
      <c r="W34" s="46" t="s">
        <v>441</v>
      </c>
      <c r="X34" s="32" t="s">
        <v>390</v>
      </c>
    </row>
    <row r="35" spans="1:24" ht="16" customHeight="1" x14ac:dyDescent="0.25">
      <c r="A35" s="147"/>
      <c r="B35" s="22" t="s">
        <v>452</v>
      </c>
      <c r="C35" s="27" t="s">
        <v>436</v>
      </c>
      <c r="D35" s="20">
        <v>6</v>
      </c>
      <c r="E35" s="21"/>
      <c r="F35" s="21"/>
      <c r="G35" s="185"/>
      <c r="H35" s="21"/>
      <c r="I35" s="21"/>
      <c r="J35" s="21"/>
      <c r="K35" s="154"/>
      <c r="L35" s="168"/>
      <c r="M35" s="40"/>
      <c r="N35" s="40"/>
      <c r="O35" s="40"/>
      <c r="P35" s="40"/>
      <c r="Q35" s="40"/>
      <c r="R35" s="40"/>
      <c r="S35" s="40"/>
      <c r="T35" s="40"/>
      <c r="U35" s="44"/>
      <c r="V35" s="33"/>
      <c r="W35" s="46" t="s">
        <v>441</v>
      </c>
      <c r="X35" s="47" t="s">
        <v>419</v>
      </c>
    </row>
    <row r="36" spans="1:24" ht="16" customHeight="1" x14ac:dyDescent="0.25">
      <c r="A36" s="147"/>
      <c r="B36" s="24" t="s">
        <v>453</v>
      </c>
      <c r="C36" s="27" t="s">
        <v>436</v>
      </c>
      <c r="D36" s="20">
        <v>4</v>
      </c>
      <c r="E36" s="21"/>
      <c r="F36" s="21"/>
      <c r="G36" s="185"/>
      <c r="H36" s="21"/>
      <c r="I36" s="21"/>
      <c r="J36" s="21"/>
      <c r="K36" s="154"/>
      <c r="L36" s="168"/>
      <c r="M36" s="40"/>
      <c r="N36" s="40"/>
      <c r="O36" s="40"/>
      <c r="P36" s="40"/>
      <c r="Q36" s="40"/>
      <c r="R36" s="40"/>
      <c r="S36" s="40"/>
      <c r="T36" s="40"/>
      <c r="U36" s="44"/>
      <c r="V36" s="33"/>
      <c r="W36" s="46" t="s">
        <v>439</v>
      </c>
      <c r="X36" s="32" t="s">
        <v>408</v>
      </c>
    </row>
    <row r="37" spans="1:24" ht="16" customHeight="1" x14ac:dyDescent="0.25">
      <c r="A37" s="147"/>
      <c r="B37" s="26" t="s">
        <v>454</v>
      </c>
      <c r="C37" s="27" t="s">
        <v>436</v>
      </c>
      <c r="D37" s="28">
        <v>6</v>
      </c>
      <c r="E37" s="29"/>
      <c r="F37" s="29"/>
      <c r="G37" s="186"/>
      <c r="H37" s="29"/>
      <c r="I37" s="29"/>
      <c r="J37" s="29"/>
      <c r="K37" s="154"/>
      <c r="L37" s="168"/>
      <c r="M37" s="40"/>
      <c r="N37" s="40"/>
      <c r="O37" s="40"/>
      <c r="P37" s="40"/>
      <c r="Q37" s="40"/>
      <c r="R37" s="40"/>
      <c r="S37" s="40"/>
      <c r="T37" s="40"/>
      <c r="U37" s="44"/>
      <c r="V37" s="33"/>
      <c r="W37" s="46" t="s">
        <v>439</v>
      </c>
      <c r="X37" s="32" t="s">
        <v>397</v>
      </c>
    </row>
    <row r="38" spans="1:24" ht="16" customHeight="1" x14ac:dyDescent="0.25">
      <c r="A38" s="147"/>
      <c r="B38" s="26" t="s">
        <v>444</v>
      </c>
      <c r="C38" s="27" t="s">
        <v>436</v>
      </c>
      <c r="D38" s="28">
        <v>2</v>
      </c>
      <c r="E38" s="29"/>
      <c r="F38" s="29"/>
      <c r="G38" s="186"/>
      <c r="H38" s="29"/>
      <c r="I38" s="29"/>
      <c r="J38" s="29"/>
      <c r="K38" s="154"/>
      <c r="L38" s="168"/>
      <c r="M38" s="40"/>
      <c r="N38" s="40"/>
      <c r="O38" s="40"/>
      <c r="P38" s="40"/>
      <c r="Q38" s="40"/>
      <c r="R38" s="40"/>
      <c r="S38" s="40"/>
      <c r="T38" s="40"/>
      <c r="U38" s="44"/>
      <c r="V38" s="33"/>
      <c r="W38" s="46" t="s">
        <v>439</v>
      </c>
      <c r="X38" s="32"/>
    </row>
    <row r="39" spans="1:24" ht="16" customHeight="1" x14ac:dyDescent="0.25">
      <c r="A39" s="147"/>
      <c r="B39" s="26" t="s">
        <v>442</v>
      </c>
      <c r="C39" s="27" t="s">
        <v>436</v>
      </c>
      <c r="D39" s="28">
        <v>2</v>
      </c>
      <c r="E39" s="29"/>
      <c r="F39" s="29"/>
      <c r="G39" s="186"/>
      <c r="H39" s="29"/>
      <c r="I39" s="29"/>
      <c r="J39" s="29"/>
      <c r="K39" s="154"/>
      <c r="L39" s="168"/>
      <c r="M39" s="40"/>
      <c r="N39" s="40"/>
      <c r="O39" s="40"/>
      <c r="P39" s="40"/>
      <c r="Q39" s="40"/>
      <c r="R39" s="40"/>
      <c r="S39" s="40"/>
      <c r="T39" s="40"/>
      <c r="U39" s="44"/>
      <c r="V39" s="33"/>
      <c r="W39" s="46" t="s">
        <v>439</v>
      </c>
      <c r="X39" s="32" t="s">
        <v>418</v>
      </c>
    </row>
    <row r="40" spans="1:24" ht="16" customHeight="1" x14ac:dyDescent="0.25">
      <c r="A40" s="147"/>
      <c r="B40" s="30" t="s">
        <v>451</v>
      </c>
      <c r="C40" s="27" t="s">
        <v>445</v>
      </c>
      <c r="D40" s="20"/>
      <c r="E40" s="21"/>
      <c r="F40" s="21"/>
      <c r="G40" s="185"/>
      <c r="H40" s="21"/>
      <c r="I40" s="21"/>
      <c r="J40" s="21"/>
      <c r="K40" s="155"/>
      <c r="L40" s="169"/>
      <c r="M40" s="41"/>
      <c r="N40" s="41"/>
      <c r="O40" s="41"/>
      <c r="P40" s="41"/>
      <c r="Q40" s="41"/>
      <c r="R40" s="41"/>
      <c r="S40" s="41"/>
      <c r="T40" s="41"/>
      <c r="U40" s="44"/>
      <c r="V40" s="33"/>
      <c r="W40" s="46" t="s">
        <v>439</v>
      </c>
      <c r="X40" s="32"/>
    </row>
    <row r="41" spans="1:24" ht="16" customHeight="1" x14ac:dyDescent="0.25">
      <c r="A41" s="146" t="s">
        <v>456</v>
      </c>
      <c r="B41" s="31" t="s">
        <v>457</v>
      </c>
      <c r="C41" s="27" t="s">
        <v>436</v>
      </c>
      <c r="D41" s="32">
        <v>6</v>
      </c>
      <c r="E41" s="33"/>
      <c r="F41" s="33"/>
      <c r="G41" s="187"/>
      <c r="H41" s="33"/>
      <c r="I41" s="33"/>
      <c r="J41" s="33"/>
      <c r="K41" s="33"/>
      <c r="L41" s="40"/>
      <c r="M41" s="40"/>
      <c r="N41" s="40"/>
      <c r="O41" s="40"/>
      <c r="P41" s="40"/>
      <c r="Q41" s="44"/>
      <c r="R41" s="167" t="s">
        <v>458</v>
      </c>
      <c r="S41" s="167" t="s">
        <v>459</v>
      </c>
      <c r="T41" s="156" t="s">
        <v>460</v>
      </c>
      <c r="U41" s="40"/>
      <c r="V41" s="159" t="s">
        <v>441</v>
      </c>
      <c r="W41" s="46" t="s">
        <v>441</v>
      </c>
      <c r="X41" s="48" t="s">
        <v>392</v>
      </c>
    </row>
    <row r="42" spans="1:24" ht="16" customHeight="1" x14ac:dyDescent="0.25">
      <c r="A42" s="147"/>
      <c r="B42" s="34" t="s">
        <v>461</v>
      </c>
      <c r="C42" s="27" t="s">
        <v>436</v>
      </c>
      <c r="D42" s="35">
        <v>6</v>
      </c>
      <c r="E42" s="36"/>
      <c r="F42" s="36"/>
      <c r="G42" s="188"/>
      <c r="H42" s="36"/>
      <c r="I42" s="36"/>
      <c r="J42" s="36"/>
      <c r="K42" s="36"/>
      <c r="L42" s="40"/>
      <c r="M42" s="40"/>
      <c r="N42" s="40"/>
      <c r="O42" s="40"/>
      <c r="P42" s="40"/>
      <c r="Q42" s="44"/>
      <c r="R42" s="168"/>
      <c r="S42" s="168"/>
      <c r="T42" s="157"/>
      <c r="U42" s="40"/>
      <c r="V42" s="159"/>
      <c r="W42" s="49" t="s">
        <v>441</v>
      </c>
      <c r="X42" s="35" t="s">
        <v>411</v>
      </c>
    </row>
    <row r="43" spans="1:24" ht="16" customHeight="1" x14ac:dyDescent="0.25">
      <c r="A43" s="147"/>
      <c r="B43" s="31" t="s">
        <v>462</v>
      </c>
      <c r="C43" s="27" t="s">
        <v>436</v>
      </c>
      <c r="D43" s="35">
        <v>4</v>
      </c>
      <c r="E43" s="36"/>
      <c r="F43" s="36"/>
      <c r="G43" s="188"/>
      <c r="H43" s="36"/>
      <c r="I43" s="36"/>
      <c r="J43" s="36"/>
      <c r="K43" s="36"/>
      <c r="L43" s="40"/>
      <c r="M43" s="40"/>
      <c r="N43" s="40"/>
      <c r="O43" s="40"/>
      <c r="P43" s="40"/>
      <c r="Q43" s="44"/>
      <c r="R43" s="168"/>
      <c r="S43" s="168"/>
      <c r="T43" s="157"/>
      <c r="U43" s="40"/>
      <c r="V43" s="159"/>
      <c r="W43" s="46" t="s">
        <v>441</v>
      </c>
      <c r="X43" s="35" t="s">
        <v>410</v>
      </c>
    </row>
    <row r="44" spans="1:24" ht="16" customHeight="1" x14ac:dyDescent="0.25">
      <c r="A44" s="147"/>
      <c r="B44" s="31" t="s">
        <v>463</v>
      </c>
      <c r="C44" s="27" t="s">
        <v>436</v>
      </c>
      <c r="D44" s="35">
        <v>4</v>
      </c>
      <c r="E44" s="36"/>
      <c r="F44" s="36"/>
      <c r="G44" s="188"/>
      <c r="H44" s="36"/>
      <c r="I44" s="36"/>
      <c r="J44" s="36"/>
      <c r="K44" s="36"/>
      <c r="L44" s="40"/>
      <c r="M44" s="40"/>
      <c r="N44" s="40"/>
      <c r="O44" s="40"/>
      <c r="P44" s="40"/>
      <c r="Q44" s="44"/>
      <c r="R44" s="168"/>
      <c r="S44" s="168"/>
      <c r="T44" s="157"/>
      <c r="U44" s="40"/>
      <c r="V44" s="159"/>
      <c r="W44" s="46" t="s">
        <v>439</v>
      </c>
      <c r="X44" s="50" t="s">
        <v>413</v>
      </c>
    </row>
    <row r="45" spans="1:24" ht="16" customHeight="1" x14ac:dyDescent="0.25">
      <c r="A45" s="147"/>
      <c r="B45" s="31" t="s">
        <v>464</v>
      </c>
      <c r="C45" s="27" t="s">
        <v>436</v>
      </c>
      <c r="D45" s="35">
        <v>4</v>
      </c>
      <c r="E45" s="36"/>
      <c r="F45" s="36"/>
      <c r="G45" s="188"/>
      <c r="H45" s="36"/>
      <c r="I45" s="36"/>
      <c r="J45" s="36"/>
      <c r="K45" s="36"/>
      <c r="L45" s="40"/>
      <c r="M45" s="40"/>
      <c r="N45" s="40"/>
      <c r="O45" s="40"/>
      <c r="P45" s="40"/>
      <c r="Q45" s="44"/>
      <c r="R45" s="168"/>
      <c r="S45" s="168"/>
      <c r="T45" s="157"/>
      <c r="U45" s="40"/>
      <c r="V45" s="159"/>
      <c r="W45" s="46" t="s">
        <v>441</v>
      </c>
      <c r="X45" s="51" t="s">
        <v>421</v>
      </c>
    </row>
    <row r="46" spans="1:24" ht="16" customHeight="1" x14ac:dyDescent="0.25">
      <c r="A46" s="147"/>
      <c r="B46" s="37" t="s">
        <v>465</v>
      </c>
      <c r="C46" s="27" t="s">
        <v>436</v>
      </c>
      <c r="D46" s="35">
        <v>2</v>
      </c>
      <c r="E46" s="36"/>
      <c r="F46" s="36"/>
      <c r="G46" s="188"/>
      <c r="H46" s="36"/>
      <c r="I46" s="36"/>
      <c r="J46" s="36"/>
      <c r="K46" s="36"/>
      <c r="L46" s="40"/>
      <c r="M46" s="40"/>
      <c r="N46" s="40"/>
      <c r="O46" s="40"/>
      <c r="P46" s="40"/>
      <c r="Q46" s="44"/>
      <c r="R46" s="168"/>
      <c r="S46" s="168"/>
      <c r="T46" s="157"/>
      <c r="U46" s="40"/>
      <c r="V46" s="159"/>
      <c r="W46" s="46" t="s">
        <v>439</v>
      </c>
      <c r="X46" s="35" t="s">
        <v>394</v>
      </c>
    </row>
    <row r="47" spans="1:24" ht="16" customHeight="1" x14ac:dyDescent="0.25">
      <c r="A47" s="147"/>
      <c r="B47" s="38" t="s">
        <v>466</v>
      </c>
      <c r="C47" s="27" t="s">
        <v>436</v>
      </c>
      <c r="D47" s="35">
        <v>2</v>
      </c>
      <c r="E47" s="36"/>
      <c r="F47" s="36"/>
      <c r="G47" s="188"/>
      <c r="H47" s="36"/>
      <c r="I47" s="36"/>
      <c r="J47" s="36"/>
      <c r="K47" s="36"/>
      <c r="L47" s="40"/>
      <c r="M47" s="40"/>
      <c r="N47" s="40"/>
      <c r="O47" s="40"/>
      <c r="P47" s="40"/>
      <c r="Q47" s="44"/>
      <c r="R47" s="168"/>
      <c r="S47" s="168"/>
      <c r="T47" s="157"/>
      <c r="U47" s="40"/>
      <c r="V47" s="159"/>
      <c r="W47" s="46" t="s">
        <v>439</v>
      </c>
      <c r="X47" s="35" t="s">
        <v>386</v>
      </c>
    </row>
    <row r="48" spans="1:24" ht="16" customHeight="1" x14ac:dyDescent="0.25">
      <c r="A48" s="147"/>
      <c r="B48" s="38" t="s">
        <v>460</v>
      </c>
      <c r="C48" s="27" t="s">
        <v>445</v>
      </c>
      <c r="D48" s="35">
        <v>1</v>
      </c>
      <c r="E48" s="132"/>
      <c r="F48" s="132"/>
      <c r="G48" s="189"/>
      <c r="H48" s="132"/>
      <c r="I48" s="132"/>
      <c r="J48" s="132"/>
      <c r="K48" s="132"/>
      <c r="L48" s="126"/>
      <c r="M48" s="126"/>
      <c r="N48" s="126"/>
      <c r="O48" s="126"/>
      <c r="P48" s="126"/>
      <c r="Q48" s="127"/>
      <c r="R48" s="168"/>
      <c r="S48" s="168"/>
      <c r="T48" s="157"/>
      <c r="U48" s="126"/>
      <c r="V48" s="159"/>
      <c r="W48" s="128" t="s">
        <v>439</v>
      </c>
      <c r="X48" s="131" t="s">
        <v>392</v>
      </c>
    </row>
    <row r="49" spans="1:24" ht="16" customHeight="1" x14ac:dyDescent="0.25">
      <c r="A49" s="147"/>
      <c r="B49" s="38" t="s">
        <v>459</v>
      </c>
      <c r="C49" s="27" t="s">
        <v>445</v>
      </c>
      <c r="D49" s="35">
        <v>1</v>
      </c>
      <c r="E49" s="36"/>
      <c r="F49" s="36"/>
      <c r="G49" s="188"/>
      <c r="H49" s="36"/>
      <c r="I49" s="36"/>
      <c r="J49" s="36"/>
      <c r="K49" s="36"/>
      <c r="L49" s="40"/>
      <c r="M49" s="40"/>
      <c r="N49" s="40"/>
      <c r="O49" s="40"/>
      <c r="P49" s="40"/>
      <c r="Q49" s="44"/>
      <c r="R49" s="168"/>
      <c r="S49" s="168"/>
      <c r="T49" s="157"/>
      <c r="U49" s="40"/>
      <c r="V49" s="159"/>
      <c r="W49" s="46" t="s">
        <v>439</v>
      </c>
      <c r="X49" s="51" t="s">
        <v>416</v>
      </c>
    </row>
    <row r="50" spans="1:24" ht="16" customHeight="1" x14ac:dyDescent="0.25">
      <c r="A50" s="147"/>
      <c r="B50" s="37" t="s">
        <v>458</v>
      </c>
      <c r="C50" s="27" t="s">
        <v>445</v>
      </c>
      <c r="D50" s="35">
        <v>1</v>
      </c>
      <c r="E50" s="36"/>
      <c r="F50" s="36"/>
      <c r="G50" s="188"/>
      <c r="H50" s="36"/>
      <c r="I50" s="36"/>
      <c r="J50" s="36"/>
      <c r="K50" s="36"/>
      <c r="L50" s="40"/>
      <c r="M50" s="40"/>
      <c r="N50" s="40"/>
      <c r="O50" s="40"/>
      <c r="P50" s="40"/>
      <c r="Q50" s="44"/>
      <c r="R50" s="169"/>
      <c r="S50" s="169"/>
      <c r="T50" s="158"/>
      <c r="U50" s="40"/>
      <c r="V50" s="159"/>
      <c r="W50" s="46" t="s">
        <v>439</v>
      </c>
      <c r="X50" s="35" t="s">
        <v>410</v>
      </c>
    </row>
    <row r="51" spans="1:24" ht="16" customHeight="1" x14ac:dyDescent="0.25">
      <c r="A51" s="146" t="s">
        <v>467</v>
      </c>
      <c r="B51" s="31" t="s">
        <v>457</v>
      </c>
      <c r="C51" s="27" t="s">
        <v>436</v>
      </c>
      <c r="D51" s="32">
        <v>6</v>
      </c>
      <c r="E51" s="33"/>
      <c r="F51" s="33"/>
      <c r="G51" s="187"/>
      <c r="H51" s="33"/>
      <c r="I51" s="33"/>
      <c r="J51" s="33"/>
      <c r="K51" s="33"/>
      <c r="L51" s="40"/>
      <c r="M51" s="40"/>
      <c r="N51" s="40"/>
      <c r="O51" s="40"/>
      <c r="P51" s="40"/>
      <c r="Q51" s="44"/>
      <c r="R51" s="167" t="s">
        <v>460</v>
      </c>
      <c r="S51" s="167" t="s">
        <v>458</v>
      </c>
      <c r="T51" s="44"/>
      <c r="U51" s="167" t="s">
        <v>459</v>
      </c>
      <c r="V51" s="159" t="s">
        <v>441</v>
      </c>
      <c r="W51" s="46" t="s">
        <v>441</v>
      </c>
      <c r="X51" s="48" t="s">
        <v>380</v>
      </c>
    </row>
    <row r="52" spans="1:24" ht="16" customHeight="1" x14ac:dyDescent="0.25">
      <c r="A52" s="147"/>
      <c r="B52" s="34" t="s">
        <v>461</v>
      </c>
      <c r="C52" s="27" t="s">
        <v>436</v>
      </c>
      <c r="D52" s="35">
        <v>6</v>
      </c>
      <c r="E52" s="36"/>
      <c r="F52" s="36"/>
      <c r="G52" s="188"/>
      <c r="H52" s="36"/>
      <c r="I52" s="36"/>
      <c r="J52" s="36"/>
      <c r="K52" s="36"/>
      <c r="L52" s="40"/>
      <c r="M52" s="40"/>
      <c r="N52" s="40"/>
      <c r="O52" s="40"/>
      <c r="P52" s="40"/>
      <c r="Q52" s="44"/>
      <c r="R52" s="168"/>
      <c r="S52" s="168"/>
      <c r="T52" s="44"/>
      <c r="U52" s="168"/>
      <c r="V52" s="159"/>
      <c r="W52" s="49" t="s">
        <v>441</v>
      </c>
      <c r="X52" s="35" t="s">
        <v>411</v>
      </c>
    </row>
    <row r="53" spans="1:24" ht="16" customHeight="1" x14ac:dyDescent="0.25">
      <c r="A53" s="147"/>
      <c r="B53" s="31" t="s">
        <v>462</v>
      </c>
      <c r="C53" s="27" t="s">
        <v>436</v>
      </c>
      <c r="D53" s="35">
        <v>4</v>
      </c>
      <c r="E53" s="36"/>
      <c r="F53" s="36"/>
      <c r="G53" s="188"/>
      <c r="H53" s="36"/>
      <c r="I53" s="36"/>
      <c r="J53" s="36"/>
      <c r="K53" s="36"/>
      <c r="L53" s="40"/>
      <c r="M53" s="40"/>
      <c r="N53" s="40"/>
      <c r="O53" s="40"/>
      <c r="P53" s="40"/>
      <c r="Q53" s="44"/>
      <c r="R53" s="168"/>
      <c r="S53" s="168"/>
      <c r="T53" s="44"/>
      <c r="U53" s="168"/>
      <c r="V53" s="159"/>
      <c r="W53" s="46" t="s">
        <v>441</v>
      </c>
      <c r="X53" s="35" t="s">
        <v>410</v>
      </c>
    </row>
    <row r="54" spans="1:24" ht="16" customHeight="1" x14ac:dyDescent="0.25">
      <c r="A54" s="147"/>
      <c r="B54" s="31" t="s">
        <v>463</v>
      </c>
      <c r="C54" s="27" t="s">
        <v>436</v>
      </c>
      <c r="D54" s="35">
        <v>4</v>
      </c>
      <c r="E54" s="36"/>
      <c r="F54" s="36"/>
      <c r="G54" s="188"/>
      <c r="H54" s="36"/>
      <c r="I54" s="36"/>
      <c r="J54" s="36"/>
      <c r="K54" s="36"/>
      <c r="L54" s="40"/>
      <c r="M54" s="40"/>
      <c r="N54" s="40"/>
      <c r="O54" s="40"/>
      <c r="P54" s="40"/>
      <c r="Q54" s="44"/>
      <c r="R54" s="168"/>
      <c r="S54" s="168"/>
      <c r="T54" s="44"/>
      <c r="U54" s="168"/>
      <c r="V54" s="159"/>
      <c r="W54" s="46" t="s">
        <v>439</v>
      </c>
      <c r="X54" s="50" t="s">
        <v>413</v>
      </c>
    </row>
    <row r="55" spans="1:24" ht="16" customHeight="1" x14ac:dyDescent="0.25">
      <c r="A55" s="147"/>
      <c r="B55" s="31" t="s">
        <v>464</v>
      </c>
      <c r="C55" s="27" t="s">
        <v>436</v>
      </c>
      <c r="D55" s="35">
        <v>4</v>
      </c>
      <c r="E55" s="36"/>
      <c r="F55" s="36"/>
      <c r="G55" s="188"/>
      <c r="H55" s="36"/>
      <c r="I55" s="36"/>
      <c r="J55" s="36"/>
      <c r="K55" s="36"/>
      <c r="L55" s="40"/>
      <c r="M55" s="40"/>
      <c r="N55" s="40"/>
      <c r="O55" s="40"/>
      <c r="P55" s="40"/>
      <c r="Q55" s="44"/>
      <c r="R55" s="168"/>
      <c r="S55" s="168"/>
      <c r="T55" s="44"/>
      <c r="U55" s="168"/>
      <c r="V55" s="159"/>
      <c r="W55" s="46" t="s">
        <v>441</v>
      </c>
      <c r="X55" s="51" t="s">
        <v>421</v>
      </c>
    </row>
    <row r="56" spans="1:24" ht="16" customHeight="1" x14ac:dyDescent="0.25">
      <c r="A56" s="147"/>
      <c r="B56" s="37" t="s">
        <v>465</v>
      </c>
      <c r="C56" s="27" t="s">
        <v>436</v>
      </c>
      <c r="D56" s="35">
        <v>2</v>
      </c>
      <c r="E56" s="36"/>
      <c r="F56" s="36"/>
      <c r="G56" s="188"/>
      <c r="H56" s="36"/>
      <c r="I56" s="36"/>
      <c r="J56" s="36"/>
      <c r="K56" s="36"/>
      <c r="L56" s="40"/>
      <c r="M56" s="40"/>
      <c r="N56" s="40"/>
      <c r="O56" s="40"/>
      <c r="P56" s="40"/>
      <c r="Q56" s="44"/>
      <c r="R56" s="168"/>
      <c r="S56" s="168"/>
      <c r="T56" s="44"/>
      <c r="U56" s="168"/>
      <c r="V56" s="159"/>
      <c r="W56" s="46" t="s">
        <v>439</v>
      </c>
      <c r="X56" s="35" t="s">
        <v>394</v>
      </c>
    </row>
    <row r="57" spans="1:24" ht="16" customHeight="1" x14ac:dyDescent="0.25">
      <c r="A57" s="147"/>
      <c r="B57" s="38" t="s">
        <v>466</v>
      </c>
      <c r="C57" s="27" t="s">
        <v>436</v>
      </c>
      <c r="D57" s="35">
        <v>2</v>
      </c>
      <c r="E57" s="36"/>
      <c r="F57" s="36"/>
      <c r="G57" s="188"/>
      <c r="H57" s="36"/>
      <c r="I57" s="36"/>
      <c r="J57" s="36"/>
      <c r="K57" s="36"/>
      <c r="L57" s="40"/>
      <c r="M57" s="40"/>
      <c r="N57" s="40"/>
      <c r="O57" s="40"/>
      <c r="P57" s="40"/>
      <c r="Q57" s="44"/>
      <c r="R57" s="168"/>
      <c r="S57" s="168"/>
      <c r="T57" s="44"/>
      <c r="U57" s="168"/>
      <c r="V57" s="159"/>
      <c r="W57" s="46" t="s">
        <v>439</v>
      </c>
      <c r="X57" s="35" t="s">
        <v>386</v>
      </c>
    </row>
    <row r="58" spans="1:24" ht="16" customHeight="1" x14ac:dyDescent="0.25">
      <c r="A58" s="147"/>
      <c r="B58" s="38" t="s">
        <v>460</v>
      </c>
      <c r="C58" s="27" t="s">
        <v>445</v>
      </c>
      <c r="D58" s="35">
        <v>1</v>
      </c>
      <c r="E58" s="36"/>
      <c r="F58" s="36"/>
      <c r="G58" s="188"/>
      <c r="H58" s="36"/>
      <c r="I58" s="36"/>
      <c r="J58" s="36"/>
      <c r="K58" s="36"/>
      <c r="L58" s="40"/>
      <c r="M58" s="40"/>
      <c r="N58" s="40"/>
      <c r="O58" s="40"/>
      <c r="P58" s="40"/>
      <c r="Q58" s="44"/>
      <c r="R58" s="168"/>
      <c r="S58" s="168"/>
      <c r="T58" s="44"/>
      <c r="U58" s="168"/>
      <c r="V58" s="159"/>
      <c r="W58" s="46" t="s">
        <v>439</v>
      </c>
      <c r="X58" s="35" t="s">
        <v>380</v>
      </c>
    </row>
    <row r="59" spans="1:24" ht="16" customHeight="1" x14ac:dyDescent="0.25">
      <c r="A59" s="147"/>
      <c r="B59" s="38" t="s">
        <v>459</v>
      </c>
      <c r="C59" s="27" t="s">
        <v>445</v>
      </c>
      <c r="D59" s="35">
        <v>1</v>
      </c>
      <c r="E59" s="36"/>
      <c r="F59" s="36"/>
      <c r="G59" s="188"/>
      <c r="H59" s="36"/>
      <c r="I59" s="36"/>
      <c r="J59" s="36"/>
      <c r="K59" s="36"/>
      <c r="L59" s="40"/>
      <c r="M59" s="40"/>
      <c r="N59" s="40"/>
      <c r="O59" s="40"/>
      <c r="P59" s="40"/>
      <c r="Q59" s="44"/>
      <c r="R59" s="168"/>
      <c r="S59" s="168"/>
      <c r="T59" s="44"/>
      <c r="U59" s="168"/>
      <c r="V59" s="159"/>
      <c r="W59" s="46" t="s">
        <v>439</v>
      </c>
      <c r="X59" s="51" t="s">
        <v>416</v>
      </c>
    </row>
    <row r="60" spans="1:24" ht="16" customHeight="1" x14ac:dyDescent="0.25">
      <c r="A60" s="147"/>
      <c r="B60" s="37" t="s">
        <v>458</v>
      </c>
      <c r="C60" s="27" t="s">
        <v>445</v>
      </c>
      <c r="D60" s="35">
        <v>1</v>
      </c>
      <c r="E60" s="36"/>
      <c r="F60" s="36"/>
      <c r="G60" s="188"/>
      <c r="H60" s="36"/>
      <c r="I60" s="36"/>
      <c r="J60" s="36"/>
      <c r="K60" s="36"/>
      <c r="L60" s="40"/>
      <c r="M60" s="40"/>
      <c r="N60" s="40"/>
      <c r="O60" s="40"/>
      <c r="P60" s="40"/>
      <c r="Q60" s="44"/>
      <c r="R60" s="169"/>
      <c r="S60" s="169"/>
      <c r="T60" s="44"/>
      <c r="U60" s="169"/>
      <c r="V60" s="159"/>
      <c r="W60" s="46" t="s">
        <v>439</v>
      </c>
      <c r="X60" s="35" t="s">
        <v>410</v>
      </c>
    </row>
    <row r="61" spans="1:24" ht="16" customHeight="1" x14ac:dyDescent="0.25">
      <c r="A61" s="146" t="s">
        <v>468</v>
      </c>
      <c r="B61" s="31" t="s">
        <v>457</v>
      </c>
      <c r="C61" s="27" t="s">
        <v>436</v>
      </c>
      <c r="D61" s="32">
        <v>6</v>
      </c>
      <c r="E61" s="33"/>
      <c r="F61" s="33"/>
      <c r="G61" s="187"/>
      <c r="H61" s="33"/>
      <c r="I61" s="33"/>
      <c r="J61" s="33"/>
      <c r="K61" s="33"/>
      <c r="L61" s="40"/>
      <c r="M61" s="40"/>
      <c r="N61" s="40"/>
      <c r="O61" s="40"/>
      <c r="P61" s="40"/>
      <c r="Q61" s="44"/>
      <c r="R61" s="167" t="s">
        <v>459</v>
      </c>
      <c r="S61" s="167" t="s">
        <v>460</v>
      </c>
      <c r="T61" s="167" t="s">
        <v>458</v>
      </c>
      <c r="U61" s="40"/>
      <c r="V61" s="159" t="s">
        <v>441</v>
      </c>
      <c r="W61" s="46" t="s">
        <v>441</v>
      </c>
      <c r="X61" s="48" t="s">
        <v>380</v>
      </c>
    </row>
    <row r="62" spans="1:24" ht="16" customHeight="1" x14ac:dyDescent="0.25">
      <c r="A62" s="147"/>
      <c r="B62" s="34" t="s">
        <v>461</v>
      </c>
      <c r="C62" s="27" t="s">
        <v>436</v>
      </c>
      <c r="D62" s="35">
        <v>6</v>
      </c>
      <c r="E62" s="36"/>
      <c r="F62" s="36"/>
      <c r="G62" s="188"/>
      <c r="H62" s="36"/>
      <c r="I62" s="36"/>
      <c r="J62" s="36"/>
      <c r="K62" s="36"/>
      <c r="L62" s="40"/>
      <c r="M62" s="40"/>
      <c r="N62" s="40"/>
      <c r="O62" s="40"/>
      <c r="P62" s="40"/>
      <c r="Q62" s="44"/>
      <c r="R62" s="168"/>
      <c r="S62" s="168"/>
      <c r="T62" s="168"/>
      <c r="U62" s="40"/>
      <c r="V62" s="159"/>
      <c r="W62" s="49" t="s">
        <v>441</v>
      </c>
      <c r="X62" s="35" t="s">
        <v>411</v>
      </c>
    </row>
    <row r="63" spans="1:24" ht="16" customHeight="1" x14ac:dyDescent="0.25">
      <c r="A63" s="147"/>
      <c r="B63" s="31" t="s">
        <v>462</v>
      </c>
      <c r="C63" s="27" t="s">
        <v>436</v>
      </c>
      <c r="D63" s="35">
        <v>4</v>
      </c>
      <c r="E63" s="36"/>
      <c r="F63" s="36"/>
      <c r="G63" s="188"/>
      <c r="H63" s="36"/>
      <c r="I63" s="36"/>
      <c r="J63" s="36"/>
      <c r="K63" s="36"/>
      <c r="L63" s="40"/>
      <c r="M63" s="40"/>
      <c r="N63" s="40"/>
      <c r="O63" s="40"/>
      <c r="P63" s="40"/>
      <c r="Q63" s="44"/>
      <c r="R63" s="168"/>
      <c r="S63" s="168"/>
      <c r="T63" s="168"/>
      <c r="U63" s="40"/>
      <c r="V63" s="159"/>
      <c r="W63" s="46" t="s">
        <v>441</v>
      </c>
      <c r="X63" s="35" t="s">
        <v>410</v>
      </c>
    </row>
    <row r="64" spans="1:24" ht="16" customHeight="1" x14ac:dyDescent="0.25">
      <c r="A64" s="147"/>
      <c r="B64" s="31" t="s">
        <v>463</v>
      </c>
      <c r="C64" s="27" t="s">
        <v>436</v>
      </c>
      <c r="D64" s="35">
        <v>4</v>
      </c>
      <c r="E64" s="36"/>
      <c r="F64" s="36"/>
      <c r="G64" s="188"/>
      <c r="H64" s="36"/>
      <c r="I64" s="36"/>
      <c r="J64" s="36"/>
      <c r="K64" s="36"/>
      <c r="L64" s="40"/>
      <c r="M64" s="40"/>
      <c r="N64" s="40"/>
      <c r="O64" s="40"/>
      <c r="P64" s="40"/>
      <c r="Q64" s="44"/>
      <c r="R64" s="168"/>
      <c r="S64" s="168"/>
      <c r="T64" s="168"/>
      <c r="U64" s="40"/>
      <c r="V64" s="159"/>
      <c r="W64" s="46" t="s">
        <v>439</v>
      </c>
      <c r="X64" s="50" t="s">
        <v>411</v>
      </c>
    </row>
    <row r="65" spans="1:24" ht="16" customHeight="1" x14ac:dyDescent="0.25">
      <c r="A65" s="147"/>
      <c r="B65" s="31" t="s">
        <v>464</v>
      </c>
      <c r="C65" s="27" t="s">
        <v>436</v>
      </c>
      <c r="D65" s="35">
        <v>4</v>
      </c>
      <c r="E65" s="36"/>
      <c r="F65" s="36"/>
      <c r="G65" s="188"/>
      <c r="H65" s="36"/>
      <c r="I65" s="36"/>
      <c r="J65" s="36"/>
      <c r="K65" s="36"/>
      <c r="L65" s="40"/>
      <c r="M65" s="40"/>
      <c r="N65" s="40"/>
      <c r="O65" s="40"/>
      <c r="P65" s="40"/>
      <c r="Q65" s="44"/>
      <c r="R65" s="168"/>
      <c r="S65" s="168"/>
      <c r="T65" s="168"/>
      <c r="U65" s="40"/>
      <c r="V65" s="159"/>
      <c r="W65" s="46" t="s">
        <v>441</v>
      </c>
      <c r="X65" s="51" t="s">
        <v>420</v>
      </c>
    </row>
    <row r="66" spans="1:24" ht="16" customHeight="1" x14ac:dyDescent="0.25">
      <c r="A66" s="147"/>
      <c r="B66" s="37" t="s">
        <v>465</v>
      </c>
      <c r="C66" s="27" t="s">
        <v>436</v>
      </c>
      <c r="D66" s="35">
        <v>2</v>
      </c>
      <c r="E66" s="36"/>
      <c r="F66" s="36"/>
      <c r="G66" s="188"/>
      <c r="H66" s="36"/>
      <c r="I66" s="36"/>
      <c r="J66" s="36"/>
      <c r="K66" s="36"/>
      <c r="L66" s="40"/>
      <c r="M66" s="40"/>
      <c r="N66" s="40"/>
      <c r="O66" s="40"/>
      <c r="P66" s="40"/>
      <c r="Q66" s="44"/>
      <c r="R66" s="168"/>
      <c r="S66" s="168"/>
      <c r="T66" s="168"/>
      <c r="U66" s="40"/>
      <c r="V66" s="159"/>
      <c r="W66" s="46" t="s">
        <v>439</v>
      </c>
      <c r="X66" s="35" t="s">
        <v>394</v>
      </c>
    </row>
    <row r="67" spans="1:24" ht="16" customHeight="1" x14ac:dyDescent="0.25">
      <c r="A67" s="147"/>
      <c r="B67" s="38" t="s">
        <v>466</v>
      </c>
      <c r="C67" s="27" t="s">
        <v>436</v>
      </c>
      <c r="D67" s="35">
        <v>2</v>
      </c>
      <c r="E67" s="36"/>
      <c r="F67" s="36"/>
      <c r="G67" s="188"/>
      <c r="H67" s="36"/>
      <c r="I67" s="36"/>
      <c r="J67" s="36"/>
      <c r="K67" s="36"/>
      <c r="L67" s="40"/>
      <c r="M67" s="40"/>
      <c r="N67" s="40"/>
      <c r="O67" s="40"/>
      <c r="P67" s="40"/>
      <c r="Q67" s="44"/>
      <c r="R67" s="168"/>
      <c r="S67" s="168"/>
      <c r="T67" s="168"/>
      <c r="U67" s="40"/>
      <c r="V67" s="159"/>
      <c r="W67" s="46" t="s">
        <v>439</v>
      </c>
      <c r="X67" s="35" t="s">
        <v>386</v>
      </c>
    </row>
    <row r="68" spans="1:24" ht="16" customHeight="1" x14ac:dyDescent="0.25">
      <c r="A68" s="147"/>
      <c r="B68" s="38" t="s">
        <v>460</v>
      </c>
      <c r="C68" s="27" t="s">
        <v>445</v>
      </c>
      <c r="D68" s="35">
        <v>1</v>
      </c>
      <c r="E68" s="36"/>
      <c r="F68" s="36"/>
      <c r="G68" s="188"/>
      <c r="H68" s="36"/>
      <c r="I68" s="36"/>
      <c r="J68" s="36"/>
      <c r="K68" s="36"/>
      <c r="L68" s="40"/>
      <c r="M68" s="40"/>
      <c r="N68" s="40"/>
      <c r="O68" s="40"/>
      <c r="P68" s="40"/>
      <c r="Q68" s="44"/>
      <c r="R68" s="168"/>
      <c r="S68" s="168"/>
      <c r="T68" s="168"/>
      <c r="U68" s="40"/>
      <c r="V68" s="159"/>
      <c r="W68" s="46" t="s">
        <v>439</v>
      </c>
      <c r="X68" s="35" t="s">
        <v>380</v>
      </c>
    </row>
    <row r="69" spans="1:24" ht="16" customHeight="1" x14ac:dyDescent="0.25">
      <c r="A69" s="147"/>
      <c r="B69" s="38" t="s">
        <v>459</v>
      </c>
      <c r="C69" s="27" t="s">
        <v>445</v>
      </c>
      <c r="D69" s="35">
        <v>1</v>
      </c>
      <c r="E69" s="36"/>
      <c r="F69" s="36"/>
      <c r="G69" s="188"/>
      <c r="H69" s="36"/>
      <c r="I69" s="36"/>
      <c r="J69" s="36"/>
      <c r="K69" s="36"/>
      <c r="L69" s="40"/>
      <c r="M69" s="40"/>
      <c r="N69" s="40"/>
      <c r="O69" s="40"/>
      <c r="P69" s="40"/>
      <c r="Q69" s="44"/>
      <c r="R69" s="168"/>
      <c r="S69" s="168"/>
      <c r="T69" s="168"/>
      <c r="U69" s="40"/>
      <c r="V69" s="159"/>
      <c r="W69" s="46" t="s">
        <v>439</v>
      </c>
      <c r="X69" s="51" t="s">
        <v>416</v>
      </c>
    </row>
    <row r="70" spans="1:24" ht="16" customHeight="1" x14ac:dyDescent="0.25">
      <c r="A70" s="147"/>
      <c r="B70" s="37" t="s">
        <v>458</v>
      </c>
      <c r="C70" s="27" t="s">
        <v>445</v>
      </c>
      <c r="D70" s="35">
        <v>1</v>
      </c>
      <c r="E70" s="36"/>
      <c r="F70" s="36"/>
      <c r="G70" s="188"/>
      <c r="H70" s="36"/>
      <c r="I70" s="36"/>
      <c r="J70" s="36"/>
      <c r="K70" s="36"/>
      <c r="L70" s="40"/>
      <c r="M70" s="40"/>
      <c r="N70" s="40"/>
      <c r="O70" s="40"/>
      <c r="P70" s="40"/>
      <c r="Q70" s="44"/>
      <c r="R70" s="169"/>
      <c r="S70" s="169"/>
      <c r="T70" s="169"/>
      <c r="U70" s="40"/>
      <c r="V70" s="159"/>
      <c r="W70" s="46" t="s">
        <v>439</v>
      </c>
      <c r="X70" s="35" t="s">
        <v>410</v>
      </c>
    </row>
    <row r="71" spans="1:24" ht="16" customHeight="1" x14ac:dyDescent="0.25">
      <c r="A71" s="146" t="s">
        <v>469</v>
      </c>
      <c r="B71" s="31" t="s">
        <v>457</v>
      </c>
      <c r="C71" s="27" t="s">
        <v>436</v>
      </c>
      <c r="D71" s="32">
        <v>6</v>
      </c>
      <c r="E71" s="33"/>
      <c r="F71" s="33"/>
      <c r="G71" s="187"/>
      <c r="H71" s="33"/>
      <c r="I71" s="33"/>
      <c r="J71" s="33"/>
      <c r="K71" s="33"/>
      <c r="L71" s="40"/>
      <c r="M71" s="40"/>
      <c r="N71" s="40"/>
      <c r="O71" s="40"/>
      <c r="P71" s="40"/>
      <c r="Q71" s="167"/>
      <c r="R71" s="44"/>
      <c r="S71" s="167" t="s">
        <v>460</v>
      </c>
      <c r="T71" s="167" t="s">
        <v>459</v>
      </c>
      <c r="U71" s="167" t="s">
        <v>458</v>
      </c>
      <c r="V71" s="159" t="s">
        <v>441</v>
      </c>
      <c r="W71" s="46" t="s">
        <v>441</v>
      </c>
      <c r="X71" s="48" t="s">
        <v>421</v>
      </c>
    </row>
    <row r="72" spans="1:24" ht="16" customHeight="1" x14ac:dyDescent="0.25">
      <c r="A72" s="147"/>
      <c r="B72" s="34" t="s">
        <v>461</v>
      </c>
      <c r="C72" s="27" t="s">
        <v>436</v>
      </c>
      <c r="D72" s="35">
        <v>6</v>
      </c>
      <c r="E72" s="36"/>
      <c r="F72" s="36"/>
      <c r="G72" s="188"/>
      <c r="H72" s="36"/>
      <c r="I72" s="36"/>
      <c r="J72" s="36"/>
      <c r="K72" s="36"/>
      <c r="L72" s="40"/>
      <c r="M72" s="40"/>
      <c r="N72" s="40"/>
      <c r="O72" s="40"/>
      <c r="P72" s="40"/>
      <c r="Q72" s="168"/>
      <c r="R72" s="44"/>
      <c r="S72" s="168"/>
      <c r="T72" s="168"/>
      <c r="U72" s="168"/>
      <c r="V72" s="159"/>
      <c r="W72" s="49" t="s">
        <v>441</v>
      </c>
      <c r="X72" s="35" t="s">
        <v>411</v>
      </c>
    </row>
    <row r="73" spans="1:24" ht="16" customHeight="1" x14ac:dyDescent="0.25">
      <c r="A73" s="147"/>
      <c r="B73" s="31" t="s">
        <v>462</v>
      </c>
      <c r="C73" s="27" t="s">
        <v>436</v>
      </c>
      <c r="D73" s="35">
        <v>4</v>
      </c>
      <c r="E73" s="36"/>
      <c r="F73" s="36"/>
      <c r="G73" s="188"/>
      <c r="H73" s="36"/>
      <c r="I73" s="36"/>
      <c r="J73" s="36"/>
      <c r="K73" s="36"/>
      <c r="L73" s="40"/>
      <c r="M73" s="40"/>
      <c r="N73" s="40"/>
      <c r="O73" s="40"/>
      <c r="P73" s="40"/>
      <c r="Q73" s="168"/>
      <c r="R73" s="44"/>
      <c r="S73" s="168"/>
      <c r="T73" s="168"/>
      <c r="U73" s="168"/>
      <c r="V73" s="159"/>
      <c r="W73" s="46" t="s">
        <v>441</v>
      </c>
      <c r="X73" s="35" t="s">
        <v>410</v>
      </c>
    </row>
    <row r="74" spans="1:24" ht="16" customHeight="1" x14ac:dyDescent="0.25">
      <c r="A74" s="147"/>
      <c r="B74" s="31" t="s">
        <v>463</v>
      </c>
      <c r="C74" s="27" t="s">
        <v>436</v>
      </c>
      <c r="D74" s="35">
        <v>4</v>
      </c>
      <c r="E74" s="36"/>
      <c r="F74" s="36"/>
      <c r="G74" s="188"/>
      <c r="H74" s="36"/>
      <c r="I74" s="36"/>
      <c r="J74" s="36"/>
      <c r="K74" s="36"/>
      <c r="L74" s="40"/>
      <c r="M74" s="40"/>
      <c r="N74" s="40"/>
      <c r="O74" s="40"/>
      <c r="P74" s="40"/>
      <c r="Q74" s="168"/>
      <c r="R74" s="44"/>
      <c r="S74" s="168"/>
      <c r="T74" s="168"/>
      <c r="U74" s="168"/>
      <c r="V74" s="159"/>
      <c r="W74" s="46" t="s">
        <v>439</v>
      </c>
      <c r="X74" s="50" t="s">
        <v>411</v>
      </c>
    </row>
    <row r="75" spans="1:24" ht="16" customHeight="1" x14ac:dyDescent="0.25">
      <c r="A75" s="147"/>
      <c r="B75" s="31" t="s">
        <v>464</v>
      </c>
      <c r="C75" s="27" t="s">
        <v>436</v>
      </c>
      <c r="D75" s="35">
        <v>4</v>
      </c>
      <c r="E75" s="36"/>
      <c r="F75" s="36"/>
      <c r="G75" s="188"/>
      <c r="H75" s="36"/>
      <c r="I75" s="36"/>
      <c r="J75" s="36"/>
      <c r="K75" s="36"/>
      <c r="L75" s="40"/>
      <c r="M75" s="40"/>
      <c r="N75" s="40"/>
      <c r="O75" s="40"/>
      <c r="P75" s="40"/>
      <c r="Q75" s="168"/>
      <c r="R75" s="44"/>
      <c r="S75" s="168"/>
      <c r="T75" s="168"/>
      <c r="U75" s="168"/>
      <c r="V75" s="159"/>
      <c r="W75" s="46" t="s">
        <v>441</v>
      </c>
      <c r="X75" s="51" t="s">
        <v>420</v>
      </c>
    </row>
    <row r="76" spans="1:24" ht="16" customHeight="1" x14ac:dyDescent="0.25">
      <c r="A76" s="147"/>
      <c r="B76" s="37" t="s">
        <v>465</v>
      </c>
      <c r="C76" s="27" t="s">
        <v>436</v>
      </c>
      <c r="D76" s="35">
        <v>2</v>
      </c>
      <c r="E76" s="36"/>
      <c r="F76" s="36"/>
      <c r="G76" s="188"/>
      <c r="H76" s="36"/>
      <c r="I76" s="36"/>
      <c r="J76" s="36"/>
      <c r="K76" s="36"/>
      <c r="L76" s="40"/>
      <c r="M76" s="40"/>
      <c r="N76" s="40"/>
      <c r="O76" s="40"/>
      <c r="P76" s="40"/>
      <c r="Q76" s="168"/>
      <c r="R76" s="44"/>
      <c r="S76" s="168"/>
      <c r="T76" s="168"/>
      <c r="U76" s="168"/>
      <c r="V76" s="159"/>
      <c r="W76" s="46" t="s">
        <v>439</v>
      </c>
      <c r="X76" s="35" t="s">
        <v>394</v>
      </c>
    </row>
    <row r="77" spans="1:24" ht="16" customHeight="1" x14ac:dyDescent="0.25">
      <c r="A77" s="147"/>
      <c r="B77" s="38" t="s">
        <v>466</v>
      </c>
      <c r="C77" s="27" t="s">
        <v>436</v>
      </c>
      <c r="D77" s="35">
        <v>2</v>
      </c>
      <c r="E77" s="36"/>
      <c r="F77" s="36"/>
      <c r="G77" s="188"/>
      <c r="H77" s="36"/>
      <c r="I77" s="36"/>
      <c r="J77" s="36"/>
      <c r="K77" s="36"/>
      <c r="L77" s="40"/>
      <c r="M77" s="40"/>
      <c r="N77" s="40"/>
      <c r="O77" s="40"/>
      <c r="P77" s="40"/>
      <c r="Q77" s="168"/>
      <c r="R77" s="44"/>
      <c r="S77" s="168"/>
      <c r="T77" s="168"/>
      <c r="U77" s="168"/>
      <c r="V77" s="159"/>
      <c r="W77" s="46" t="s">
        <v>439</v>
      </c>
      <c r="X77" s="35" t="s">
        <v>386</v>
      </c>
    </row>
    <row r="78" spans="1:24" ht="16" customHeight="1" x14ac:dyDescent="0.25">
      <c r="A78" s="147"/>
      <c r="B78" s="38" t="s">
        <v>460</v>
      </c>
      <c r="C78" s="27" t="s">
        <v>445</v>
      </c>
      <c r="D78" s="35">
        <v>1</v>
      </c>
      <c r="E78" s="36"/>
      <c r="F78" s="36"/>
      <c r="G78" s="188"/>
      <c r="H78" s="36"/>
      <c r="I78" s="36"/>
      <c r="J78" s="36"/>
      <c r="K78" s="36"/>
      <c r="L78" s="40"/>
      <c r="M78" s="40"/>
      <c r="N78" s="40"/>
      <c r="O78" s="40"/>
      <c r="P78" s="40"/>
      <c r="Q78" s="168"/>
      <c r="R78" s="44"/>
      <c r="S78" s="168"/>
      <c r="T78" s="168"/>
      <c r="U78" s="168"/>
      <c r="V78" s="159"/>
      <c r="W78" s="46" t="s">
        <v>439</v>
      </c>
      <c r="X78" s="35" t="s">
        <v>421</v>
      </c>
    </row>
    <row r="79" spans="1:24" ht="16" customHeight="1" x14ac:dyDescent="0.25">
      <c r="A79" s="147"/>
      <c r="B79" s="38" t="s">
        <v>459</v>
      </c>
      <c r="C79" s="27" t="s">
        <v>445</v>
      </c>
      <c r="D79" s="35">
        <v>1</v>
      </c>
      <c r="E79" s="36"/>
      <c r="F79" s="36"/>
      <c r="G79" s="188"/>
      <c r="H79" s="36"/>
      <c r="I79" s="36"/>
      <c r="J79" s="36"/>
      <c r="K79" s="36"/>
      <c r="L79" s="40"/>
      <c r="M79" s="40"/>
      <c r="N79" s="40"/>
      <c r="O79" s="40"/>
      <c r="P79" s="40"/>
      <c r="Q79" s="168"/>
      <c r="R79" s="44"/>
      <c r="S79" s="168"/>
      <c r="T79" s="168"/>
      <c r="U79" s="168"/>
      <c r="V79" s="159"/>
      <c r="W79" s="46" t="s">
        <v>439</v>
      </c>
      <c r="X79" s="51" t="s">
        <v>416</v>
      </c>
    </row>
    <row r="80" spans="1:24" ht="16" customHeight="1" x14ac:dyDescent="0.25">
      <c r="A80" s="147"/>
      <c r="B80" s="37" t="s">
        <v>458</v>
      </c>
      <c r="C80" s="27" t="s">
        <v>445</v>
      </c>
      <c r="D80" s="35">
        <v>1</v>
      </c>
      <c r="E80" s="36"/>
      <c r="F80" s="36"/>
      <c r="G80" s="188"/>
      <c r="H80" s="36"/>
      <c r="I80" s="36"/>
      <c r="J80" s="36"/>
      <c r="K80" s="36"/>
      <c r="L80" s="40"/>
      <c r="M80" s="40"/>
      <c r="N80" s="40"/>
      <c r="O80" s="40"/>
      <c r="P80" s="40"/>
      <c r="Q80" s="169"/>
      <c r="R80" s="44"/>
      <c r="S80" s="169"/>
      <c r="T80" s="169"/>
      <c r="U80" s="169"/>
      <c r="V80" s="159"/>
      <c r="W80" s="46" t="s">
        <v>439</v>
      </c>
      <c r="X80" s="35" t="s">
        <v>410</v>
      </c>
    </row>
    <row r="81" spans="1:24" ht="16" customHeight="1" x14ac:dyDescent="0.25">
      <c r="A81" s="146" t="s">
        <v>470</v>
      </c>
      <c r="B81" s="52" t="s">
        <v>471</v>
      </c>
      <c r="C81" s="27" t="s">
        <v>436</v>
      </c>
      <c r="D81" s="35">
        <v>4</v>
      </c>
      <c r="E81" s="36"/>
      <c r="F81" s="36"/>
      <c r="G81" s="188"/>
      <c r="H81" s="36"/>
      <c r="I81" s="36"/>
      <c r="J81" s="36"/>
      <c r="K81" s="61"/>
      <c r="L81" s="40"/>
      <c r="M81" s="40"/>
      <c r="N81" s="40"/>
      <c r="O81" s="40"/>
      <c r="P81" s="40"/>
      <c r="Q81" s="40"/>
      <c r="R81" s="40"/>
      <c r="S81" s="167" t="s">
        <v>472</v>
      </c>
      <c r="T81" s="167" t="s">
        <v>473</v>
      </c>
      <c r="U81" s="167" t="s">
        <v>474</v>
      </c>
      <c r="V81" s="173" t="s">
        <v>441</v>
      </c>
      <c r="W81" s="46" t="s">
        <v>441</v>
      </c>
      <c r="X81" s="32" t="s">
        <v>375</v>
      </c>
    </row>
    <row r="82" spans="1:24" ht="16" customHeight="1" x14ac:dyDescent="0.25">
      <c r="A82" s="147"/>
      <c r="B82" s="34" t="s">
        <v>475</v>
      </c>
      <c r="C82" s="27" t="s">
        <v>436</v>
      </c>
      <c r="D82" s="35">
        <v>4</v>
      </c>
      <c r="E82" s="36"/>
      <c r="F82" s="36"/>
      <c r="G82" s="188"/>
      <c r="H82" s="36"/>
      <c r="I82" s="36"/>
      <c r="J82" s="36"/>
      <c r="K82" s="61"/>
      <c r="L82" s="40"/>
      <c r="M82" s="40"/>
      <c r="N82" s="40"/>
      <c r="O82" s="40"/>
      <c r="P82" s="40"/>
      <c r="Q82" s="40"/>
      <c r="R82" s="40"/>
      <c r="S82" s="168"/>
      <c r="T82" s="168"/>
      <c r="U82" s="168"/>
      <c r="V82" s="173"/>
      <c r="W82" s="46" t="s">
        <v>441</v>
      </c>
      <c r="X82" s="35" t="s">
        <v>420</v>
      </c>
    </row>
    <row r="83" spans="1:24" ht="16" customHeight="1" x14ac:dyDescent="0.25">
      <c r="A83" s="147"/>
      <c r="B83" s="31" t="s">
        <v>476</v>
      </c>
      <c r="C83" s="27" t="s">
        <v>436</v>
      </c>
      <c r="D83" s="35">
        <v>4</v>
      </c>
      <c r="E83" s="36"/>
      <c r="F83" s="36"/>
      <c r="G83" s="188"/>
      <c r="H83" s="36"/>
      <c r="I83" s="36"/>
      <c r="J83" s="36"/>
      <c r="K83" s="61"/>
      <c r="L83" s="40"/>
      <c r="M83" s="40"/>
      <c r="N83" s="40"/>
      <c r="O83" s="40"/>
      <c r="P83" s="40"/>
      <c r="Q83" s="40"/>
      <c r="R83" s="40"/>
      <c r="S83" s="168"/>
      <c r="T83" s="168"/>
      <c r="U83" s="168"/>
      <c r="V83" s="173"/>
      <c r="W83" s="46" t="s">
        <v>439</v>
      </c>
      <c r="X83" s="35" t="s">
        <v>375</v>
      </c>
    </row>
    <row r="84" spans="1:24" ht="16" customHeight="1" x14ac:dyDescent="0.25">
      <c r="A84" s="147"/>
      <c r="B84" s="31" t="s">
        <v>477</v>
      </c>
      <c r="C84" s="27" t="s">
        <v>436</v>
      </c>
      <c r="D84" s="35">
        <v>8</v>
      </c>
      <c r="E84" s="36"/>
      <c r="F84" s="36"/>
      <c r="G84" s="188"/>
      <c r="H84" s="36"/>
      <c r="I84" s="36"/>
      <c r="J84" s="36"/>
      <c r="K84" s="61"/>
      <c r="L84" s="40"/>
      <c r="M84" s="40"/>
      <c r="N84" s="40"/>
      <c r="O84" s="40"/>
      <c r="P84" s="40"/>
      <c r="Q84" s="40"/>
      <c r="R84" s="40"/>
      <c r="S84" s="168"/>
      <c r="T84" s="168"/>
      <c r="U84" s="168"/>
      <c r="V84" s="173"/>
      <c r="W84" s="46" t="s">
        <v>441</v>
      </c>
      <c r="X84" s="35" t="s">
        <v>413</v>
      </c>
    </row>
    <row r="85" spans="1:24" ht="16" customHeight="1" x14ac:dyDescent="0.25">
      <c r="A85" s="147"/>
      <c r="B85" s="133" t="s">
        <v>478</v>
      </c>
      <c r="C85" s="27" t="s">
        <v>436</v>
      </c>
      <c r="D85" s="35">
        <v>4</v>
      </c>
      <c r="E85" s="132"/>
      <c r="F85" s="132"/>
      <c r="G85" s="189"/>
      <c r="H85" s="132"/>
      <c r="I85" s="132"/>
      <c r="J85" s="132"/>
      <c r="K85" s="180"/>
      <c r="L85" s="126"/>
      <c r="M85" s="126"/>
      <c r="N85" s="126"/>
      <c r="O85" s="126"/>
      <c r="P85" s="126"/>
      <c r="Q85" s="126"/>
      <c r="R85" s="126"/>
      <c r="S85" s="168"/>
      <c r="T85" s="168"/>
      <c r="U85" s="168"/>
      <c r="V85" s="173"/>
      <c r="W85" s="128" t="s">
        <v>439</v>
      </c>
      <c r="X85" s="131" t="s">
        <v>392</v>
      </c>
    </row>
    <row r="86" spans="1:24" ht="16" customHeight="1" x14ac:dyDescent="0.25">
      <c r="A86" s="147"/>
      <c r="B86" s="31" t="s">
        <v>466</v>
      </c>
      <c r="C86" s="27" t="s">
        <v>436</v>
      </c>
      <c r="D86" s="35">
        <v>2</v>
      </c>
      <c r="E86" s="36"/>
      <c r="F86" s="36"/>
      <c r="G86" s="188"/>
      <c r="H86" s="36"/>
      <c r="I86" s="36"/>
      <c r="J86" s="36"/>
      <c r="K86" s="61"/>
      <c r="L86" s="40"/>
      <c r="M86" s="40"/>
      <c r="N86" s="40"/>
      <c r="O86" s="40"/>
      <c r="P86" s="40"/>
      <c r="Q86" s="40"/>
      <c r="R86" s="40"/>
      <c r="S86" s="168"/>
      <c r="T86" s="168"/>
      <c r="U86" s="168"/>
      <c r="V86" s="173"/>
      <c r="W86" s="46" t="s">
        <v>439</v>
      </c>
      <c r="X86" s="47" t="s">
        <v>386</v>
      </c>
    </row>
    <row r="87" spans="1:24" ht="16" customHeight="1" x14ac:dyDescent="0.25">
      <c r="A87" s="147"/>
      <c r="B87" s="37" t="s">
        <v>465</v>
      </c>
      <c r="C87" s="27" t="s">
        <v>436</v>
      </c>
      <c r="D87" s="35">
        <v>2</v>
      </c>
      <c r="E87" s="36"/>
      <c r="F87" s="36"/>
      <c r="G87" s="188"/>
      <c r="H87" s="36"/>
      <c r="I87" s="36"/>
      <c r="J87" s="36"/>
      <c r="K87" s="61"/>
      <c r="L87" s="40"/>
      <c r="M87" s="40"/>
      <c r="N87" s="40"/>
      <c r="O87" s="40"/>
      <c r="P87" s="40"/>
      <c r="Q87" s="40"/>
      <c r="R87" s="40"/>
      <c r="S87" s="168"/>
      <c r="T87" s="168"/>
      <c r="U87" s="168"/>
      <c r="V87" s="173"/>
      <c r="W87" s="46" t="s">
        <v>439</v>
      </c>
      <c r="X87" s="35" t="s">
        <v>394</v>
      </c>
    </row>
    <row r="88" spans="1:24" ht="16" customHeight="1" x14ac:dyDescent="0.25">
      <c r="A88" s="147"/>
      <c r="B88" s="31" t="s">
        <v>474</v>
      </c>
      <c r="C88" s="27" t="s">
        <v>445</v>
      </c>
      <c r="D88" s="35">
        <v>1</v>
      </c>
      <c r="E88" s="36"/>
      <c r="F88" s="36"/>
      <c r="G88" s="188"/>
      <c r="H88" s="36"/>
      <c r="I88" s="36"/>
      <c r="J88" s="36"/>
      <c r="K88" s="61"/>
      <c r="L88" s="40"/>
      <c r="M88" s="40"/>
      <c r="N88" s="40"/>
      <c r="O88" s="40"/>
      <c r="P88" s="40"/>
      <c r="Q88" s="40"/>
      <c r="R88" s="40"/>
      <c r="S88" s="168"/>
      <c r="T88" s="168"/>
      <c r="U88" s="168"/>
      <c r="V88" s="173"/>
      <c r="W88" s="46" t="s">
        <v>439</v>
      </c>
      <c r="X88" s="35" t="s">
        <v>420</v>
      </c>
    </row>
    <row r="89" spans="1:24" ht="16" customHeight="1" x14ac:dyDescent="0.25">
      <c r="A89" s="147"/>
      <c r="B89" s="31" t="s">
        <v>472</v>
      </c>
      <c r="C89" s="27" t="s">
        <v>445</v>
      </c>
      <c r="D89" s="35">
        <v>1</v>
      </c>
      <c r="E89" s="36"/>
      <c r="F89" s="36"/>
      <c r="G89" s="188"/>
      <c r="H89" s="36"/>
      <c r="I89" s="36"/>
      <c r="J89" s="36"/>
      <c r="K89" s="61"/>
      <c r="L89" s="40"/>
      <c r="M89" s="40"/>
      <c r="N89" s="40"/>
      <c r="O89" s="40"/>
      <c r="P89" s="40"/>
      <c r="Q89" s="40"/>
      <c r="R89" s="40"/>
      <c r="S89" s="168"/>
      <c r="T89" s="168"/>
      <c r="U89" s="168"/>
      <c r="V89" s="173"/>
      <c r="W89" s="46" t="s">
        <v>439</v>
      </c>
      <c r="X89" s="32" t="s">
        <v>413</v>
      </c>
    </row>
    <row r="90" spans="1:24" ht="16" customHeight="1" x14ac:dyDescent="0.25">
      <c r="A90" s="147"/>
      <c r="B90" s="53" t="s">
        <v>473</v>
      </c>
      <c r="C90" s="27" t="s">
        <v>445</v>
      </c>
      <c r="D90" s="35">
        <v>1</v>
      </c>
      <c r="E90" s="36"/>
      <c r="F90" s="36"/>
      <c r="G90" s="188"/>
      <c r="H90" s="36"/>
      <c r="I90" s="36"/>
      <c r="J90" s="36"/>
      <c r="K90" s="61"/>
      <c r="L90" s="40"/>
      <c r="M90" s="40"/>
      <c r="N90" s="40"/>
      <c r="O90" s="40"/>
      <c r="P90" s="40"/>
      <c r="Q90" s="40"/>
      <c r="R90" s="40"/>
      <c r="S90" s="169"/>
      <c r="T90" s="169"/>
      <c r="U90" s="169"/>
      <c r="V90" s="173"/>
      <c r="W90" s="46" t="s">
        <v>439</v>
      </c>
      <c r="X90" s="35" t="s">
        <v>375</v>
      </c>
    </row>
    <row r="91" spans="1:24" ht="16" customHeight="1" x14ac:dyDescent="0.25">
      <c r="A91" s="146" t="s">
        <v>479</v>
      </c>
      <c r="B91" s="52" t="s">
        <v>471</v>
      </c>
      <c r="C91" s="27" t="s">
        <v>436</v>
      </c>
      <c r="D91" s="35">
        <v>4</v>
      </c>
      <c r="E91" s="36"/>
      <c r="F91" s="36"/>
      <c r="G91" s="188"/>
      <c r="H91" s="36"/>
      <c r="I91" s="36"/>
      <c r="J91" s="36"/>
      <c r="K91" s="36"/>
      <c r="L91" s="40"/>
      <c r="M91" s="44"/>
      <c r="N91" s="40"/>
      <c r="O91" s="40"/>
      <c r="P91" s="40"/>
      <c r="Q91" s="40"/>
      <c r="R91" s="40"/>
      <c r="S91" s="167" t="s">
        <v>474</v>
      </c>
      <c r="T91" s="167" t="s">
        <v>472</v>
      </c>
      <c r="U91" s="167" t="s">
        <v>473</v>
      </c>
      <c r="V91" s="173" t="s">
        <v>441</v>
      </c>
      <c r="W91" s="46" t="s">
        <v>441</v>
      </c>
      <c r="X91" s="32" t="s">
        <v>375</v>
      </c>
    </row>
    <row r="92" spans="1:24" ht="16" customHeight="1" x14ac:dyDescent="0.25">
      <c r="A92" s="147"/>
      <c r="B92" s="34" t="s">
        <v>475</v>
      </c>
      <c r="C92" s="27" t="s">
        <v>436</v>
      </c>
      <c r="D92" s="35">
        <v>4</v>
      </c>
      <c r="E92" s="36"/>
      <c r="F92" s="36"/>
      <c r="G92" s="188"/>
      <c r="H92" s="36"/>
      <c r="I92" s="36"/>
      <c r="J92" s="36"/>
      <c r="K92" s="36"/>
      <c r="L92" s="40"/>
      <c r="M92" s="44"/>
      <c r="N92" s="40"/>
      <c r="O92" s="40"/>
      <c r="P92" s="40"/>
      <c r="Q92" s="40"/>
      <c r="R92" s="40"/>
      <c r="S92" s="168"/>
      <c r="T92" s="168"/>
      <c r="U92" s="168"/>
      <c r="V92" s="173"/>
      <c r="W92" s="46" t="s">
        <v>441</v>
      </c>
      <c r="X92" s="35" t="s">
        <v>420</v>
      </c>
    </row>
    <row r="93" spans="1:24" ht="16" customHeight="1" x14ac:dyDescent="0.25">
      <c r="A93" s="147"/>
      <c r="B93" s="31" t="s">
        <v>476</v>
      </c>
      <c r="C93" s="27" t="s">
        <v>436</v>
      </c>
      <c r="D93" s="35">
        <v>4</v>
      </c>
      <c r="E93" s="36"/>
      <c r="F93" s="36"/>
      <c r="G93" s="188"/>
      <c r="H93" s="36"/>
      <c r="I93" s="36"/>
      <c r="J93" s="36"/>
      <c r="K93" s="36"/>
      <c r="L93" s="40"/>
      <c r="M93" s="44"/>
      <c r="N93" s="40"/>
      <c r="O93" s="40"/>
      <c r="P93" s="40"/>
      <c r="Q93" s="40"/>
      <c r="R93" s="40"/>
      <c r="S93" s="168"/>
      <c r="T93" s="168"/>
      <c r="U93" s="168"/>
      <c r="V93" s="173"/>
      <c r="W93" s="46" t="s">
        <v>439</v>
      </c>
      <c r="X93" s="35" t="s">
        <v>375</v>
      </c>
    </row>
    <row r="94" spans="1:24" ht="16" customHeight="1" x14ac:dyDescent="0.25">
      <c r="A94" s="147"/>
      <c r="B94" s="31" t="s">
        <v>477</v>
      </c>
      <c r="C94" s="27" t="s">
        <v>436</v>
      </c>
      <c r="D94" s="35">
        <v>8</v>
      </c>
      <c r="E94" s="36"/>
      <c r="F94" s="36"/>
      <c r="G94" s="188"/>
      <c r="H94" s="36"/>
      <c r="I94" s="36"/>
      <c r="J94" s="36"/>
      <c r="K94" s="36"/>
      <c r="L94" s="40"/>
      <c r="M94" s="44"/>
      <c r="N94" s="40"/>
      <c r="O94" s="40"/>
      <c r="P94" s="40"/>
      <c r="Q94" s="40"/>
      <c r="R94" s="40"/>
      <c r="S94" s="168"/>
      <c r="T94" s="168"/>
      <c r="U94" s="168"/>
      <c r="V94" s="173"/>
      <c r="W94" s="46" t="s">
        <v>441</v>
      </c>
      <c r="X94" s="35" t="s">
        <v>413</v>
      </c>
    </row>
    <row r="95" spans="1:24" ht="16" customHeight="1" x14ac:dyDescent="0.25">
      <c r="A95" s="147"/>
      <c r="B95" s="133" t="s">
        <v>478</v>
      </c>
      <c r="C95" s="27" t="s">
        <v>436</v>
      </c>
      <c r="D95" s="35">
        <v>4</v>
      </c>
      <c r="E95" s="132"/>
      <c r="F95" s="132"/>
      <c r="G95" s="189"/>
      <c r="H95" s="132"/>
      <c r="I95" s="132"/>
      <c r="J95" s="132"/>
      <c r="K95" s="132"/>
      <c r="L95" s="126"/>
      <c r="M95" s="127"/>
      <c r="N95" s="126"/>
      <c r="O95" s="126"/>
      <c r="P95" s="126"/>
      <c r="Q95" s="126"/>
      <c r="R95" s="126"/>
      <c r="S95" s="168"/>
      <c r="T95" s="168"/>
      <c r="U95" s="168"/>
      <c r="V95" s="173"/>
      <c r="W95" s="128" t="s">
        <v>439</v>
      </c>
      <c r="X95" s="131" t="s">
        <v>392</v>
      </c>
    </row>
    <row r="96" spans="1:24" ht="16" customHeight="1" x14ac:dyDescent="0.25">
      <c r="A96" s="147"/>
      <c r="B96" s="31" t="s">
        <v>466</v>
      </c>
      <c r="C96" s="27" t="s">
        <v>436</v>
      </c>
      <c r="D96" s="35">
        <v>2</v>
      </c>
      <c r="E96" s="36"/>
      <c r="F96" s="36"/>
      <c r="G96" s="188"/>
      <c r="H96" s="36"/>
      <c r="I96" s="36"/>
      <c r="J96" s="36"/>
      <c r="K96" s="36"/>
      <c r="L96" s="40"/>
      <c r="M96" s="44"/>
      <c r="N96" s="40"/>
      <c r="O96" s="40"/>
      <c r="P96" s="40"/>
      <c r="Q96" s="40"/>
      <c r="R96" s="40"/>
      <c r="S96" s="168"/>
      <c r="T96" s="168"/>
      <c r="U96" s="168"/>
      <c r="V96" s="173"/>
      <c r="W96" s="46" t="s">
        <v>439</v>
      </c>
      <c r="X96" s="47" t="s">
        <v>386</v>
      </c>
    </row>
    <row r="97" spans="1:24" ht="16" customHeight="1" x14ac:dyDescent="0.25">
      <c r="A97" s="147"/>
      <c r="B97" s="37" t="s">
        <v>465</v>
      </c>
      <c r="C97" s="27" t="s">
        <v>436</v>
      </c>
      <c r="D97" s="35">
        <v>2</v>
      </c>
      <c r="E97" s="36"/>
      <c r="F97" s="36"/>
      <c r="G97" s="188"/>
      <c r="H97" s="36"/>
      <c r="I97" s="36"/>
      <c r="J97" s="36"/>
      <c r="K97" s="36"/>
      <c r="L97" s="40"/>
      <c r="M97" s="44"/>
      <c r="N97" s="40"/>
      <c r="O97" s="40"/>
      <c r="P97" s="40"/>
      <c r="Q97" s="40"/>
      <c r="R97" s="40"/>
      <c r="S97" s="168"/>
      <c r="T97" s="168"/>
      <c r="U97" s="168"/>
      <c r="V97" s="173"/>
      <c r="W97" s="46" t="s">
        <v>439</v>
      </c>
      <c r="X97" s="35" t="s">
        <v>394</v>
      </c>
    </row>
    <row r="98" spans="1:24" ht="16" customHeight="1" x14ac:dyDescent="0.25">
      <c r="A98" s="147"/>
      <c r="B98" s="31" t="s">
        <v>474</v>
      </c>
      <c r="C98" s="27" t="s">
        <v>445</v>
      </c>
      <c r="D98" s="35">
        <v>1</v>
      </c>
      <c r="E98" s="36"/>
      <c r="F98" s="36"/>
      <c r="G98" s="188"/>
      <c r="H98" s="36"/>
      <c r="I98" s="36"/>
      <c r="J98" s="36"/>
      <c r="K98" s="36"/>
      <c r="L98" s="40"/>
      <c r="M98" s="44"/>
      <c r="N98" s="40"/>
      <c r="O98" s="40"/>
      <c r="P98" s="40"/>
      <c r="Q98" s="40"/>
      <c r="R98" s="40"/>
      <c r="S98" s="168"/>
      <c r="T98" s="168"/>
      <c r="U98" s="168"/>
      <c r="V98" s="173"/>
      <c r="W98" s="46" t="s">
        <v>439</v>
      </c>
      <c r="X98" s="35" t="s">
        <v>420</v>
      </c>
    </row>
    <row r="99" spans="1:24" ht="16" customHeight="1" x14ac:dyDescent="0.25">
      <c r="A99" s="147"/>
      <c r="B99" s="31" t="s">
        <v>472</v>
      </c>
      <c r="C99" s="27" t="s">
        <v>445</v>
      </c>
      <c r="D99" s="35">
        <v>1</v>
      </c>
      <c r="E99" s="36"/>
      <c r="F99" s="36"/>
      <c r="G99" s="188"/>
      <c r="H99" s="36"/>
      <c r="I99" s="36"/>
      <c r="J99" s="36"/>
      <c r="K99" s="36"/>
      <c r="L99" s="40"/>
      <c r="M99" s="44"/>
      <c r="N99" s="40"/>
      <c r="O99" s="40"/>
      <c r="P99" s="40"/>
      <c r="Q99" s="40"/>
      <c r="R99" s="40"/>
      <c r="S99" s="168"/>
      <c r="T99" s="168"/>
      <c r="U99" s="168"/>
      <c r="V99" s="173"/>
      <c r="W99" s="46" t="s">
        <v>439</v>
      </c>
      <c r="X99" s="32" t="s">
        <v>413</v>
      </c>
    </row>
    <row r="100" spans="1:24" ht="16" customHeight="1" x14ac:dyDescent="0.25">
      <c r="A100" s="147"/>
      <c r="B100" s="54" t="s">
        <v>480</v>
      </c>
      <c r="C100" s="27" t="s">
        <v>445</v>
      </c>
      <c r="D100" s="35">
        <v>1</v>
      </c>
      <c r="E100" s="36"/>
      <c r="F100" s="36"/>
      <c r="G100" s="188"/>
      <c r="H100" s="36"/>
      <c r="I100" s="36"/>
      <c r="J100" s="36"/>
      <c r="K100" s="36"/>
      <c r="L100" s="40"/>
      <c r="M100" s="44"/>
      <c r="N100" s="40"/>
      <c r="O100" s="40"/>
      <c r="P100" s="40"/>
      <c r="Q100" s="40"/>
      <c r="R100" s="40"/>
      <c r="S100" s="169"/>
      <c r="T100" s="169"/>
      <c r="U100" s="169"/>
      <c r="V100" s="173"/>
      <c r="W100" s="46" t="s">
        <v>439</v>
      </c>
      <c r="X100" s="35" t="s">
        <v>375</v>
      </c>
    </row>
    <row r="101" spans="1:24" ht="16" customHeight="1" x14ac:dyDescent="0.25">
      <c r="A101" s="146" t="s">
        <v>481</v>
      </c>
      <c r="B101" s="52" t="s">
        <v>471</v>
      </c>
      <c r="C101" s="27" t="s">
        <v>436</v>
      </c>
      <c r="D101" s="35">
        <v>4</v>
      </c>
      <c r="E101" s="36"/>
      <c r="F101" s="36"/>
      <c r="G101" s="188"/>
      <c r="H101" s="36"/>
      <c r="I101" s="36"/>
      <c r="J101" s="61"/>
      <c r="K101" s="36"/>
      <c r="L101" s="40"/>
      <c r="M101" s="40"/>
      <c r="N101" s="40"/>
      <c r="O101" s="40"/>
      <c r="P101" s="40"/>
      <c r="Q101" s="40"/>
      <c r="R101" s="40"/>
      <c r="S101" s="167" t="s">
        <v>473</v>
      </c>
      <c r="T101" s="167" t="s">
        <v>474</v>
      </c>
      <c r="U101" s="167" t="s">
        <v>472</v>
      </c>
      <c r="V101" s="173" t="s">
        <v>441</v>
      </c>
      <c r="W101" s="46" t="s">
        <v>441</v>
      </c>
      <c r="X101" s="32" t="s">
        <v>375</v>
      </c>
    </row>
    <row r="102" spans="1:24" ht="16" customHeight="1" x14ac:dyDescent="0.25">
      <c r="A102" s="147"/>
      <c r="B102" s="34" t="s">
        <v>475</v>
      </c>
      <c r="C102" s="27" t="s">
        <v>436</v>
      </c>
      <c r="D102" s="35">
        <v>4</v>
      </c>
      <c r="E102" s="36"/>
      <c r="F102" s="36"/>
      <c r="G102" s="188"/>
      <c r="H102" s="36"/>
      <c r="I102" s="36"/>
      <c r="J102" s="61"/>
      <c r="K102" s="36"/>
      <c r="L102" s="40"/>
      <c r="M102" s="40"/>
      <c r="N102" s="40"/>
      <c r="O102" s="40"/>
      <c r="P102" s="40"/>
      <c r="Q102" s="40"/>
      <c r="R102" s="40"/>
      <c r="S102" s="168"/>
      <c r="T102" s="168"/>
      <c r="U102" s="168"/>
      <c r="V102" s="173"/>
      <c r="W102" s="46" t="s">
        <v>441</v>
      </c>
      <c r="X102" s="35" t="s">
        <v>421</v>
      </c>
    </row>
    <row r="103" spans="1:24" ht="16" customHeight="1" x14ac:dyDescent="0.25">
      <c r="A103" s="147"/>
      <c r="B103" s="31" t="s">
        <v>476</v>
      </c>
      <c r="C103" s="27" t="s">
        <v>436</v>
      </c>
      <c r="D103" s="35">
        <v>4</v>
      </c>
      <c r="E103" s="36"/>
      <c r="F103" s="36"/>
      <c r="G103" s="188"/>
      <c r="H103" s="36"/>
      <c r="I103" s="36"/>
      <c r="J103" s="61"/>
      <c r="K103" s="36"/>
      <c r="L103" s="40"/>
      <c r="M103" s="40"/>
      <c r="N103" s="40"/>
      <c r="O103" s="40"/>
      <c r="P103" s="40"/>
      <c r="Q103" s="40"/>
      <c r="R103" s="40"/>
      <c r="S103" s="168"/>
      <c r="T103" s="168"/>
      <c r="U103" s="168"/>
      <c r="V103" s="173"/>
      <c r="W103" s="46" t="s">
        <v>439</v>
      </c>
      <c r="X103" s="35" t="s">
        <v>375</v>
      </c>
    </row>
    <row r="104" spans="1:24" ht="16" customHeight="1" x14ac:dyDescent="0.25">
      <c r="A104" s="147"/>
      <c r="B104" s="31" t="s">
        <v>477</v>
      </c>
      <c r="C104" s="27" t="s">
        <v>436</v>
      </c>
      <c r="D104" s="35">
        <v>8</v>
      </c>
      <c r="E104" s="36"/>
      <c r="F104" s="36"/>
      <c r="G104" s="188"/>
      <c r="H104" s="36"/>
      <c r="I104" s="36"/>
      <c r="J104" s="61"/>
      <c r="K104" s="36"/>
      <c r="L104" s="40"/>
      <c r="M104" s="40"/>
      <c r="N104" s="40"/>
      <c r="O104" s="40"/>
      <c r="P104" s="40"/>
      <c r="Q104" s="40"/>
      <c r="R104" s="40"/>
      <c r="S104" s="168"/>
      <c r="T104" s="168"/>
      <c r="U104" s="168"/>
      <c r="V104" s="173"/>
      <c r="W104" s="46" t="s">
        <v>441</v>
      </c>
      <c r="X104" s="35" t="s">
        <v>413</v>
      </c>
    </row>
    <row r="105" spans="1:24" ht="16" customHeight="1" x14ac:dyDescent="0.25">
      <c r="A105" s="147"/>
      <c r="B105" s="133" t="s">
        <v>478</v>
      </c>
      <c r="C105" s="27" t="s">
        <v>436</v>
      </c>
      <c r="D105" s="35">
        <v>4</v>
      </c>
      <c r="E105" s="132"/>
      <c r="F105" s="132"/>
      <c r="G105" s="189"/>
      <c r="H105" s="132"/>
      <c r="I105" s="132"/>
      <c r="J105" s="180"/>
      <c r="K105" s="132"/>
      <c r="L105" s="126"/>
      <c r="M105" s="126"/>
      <c r="N105" s="126"/>
      <c r="O105" s="126"/>
      <c r="P105" s="126"/>
      <c r="Q105" s="126"/>
      <c r="R105" s="126"/>
      <c r="S105" s="168"/>
      <c r="T105" s="168"/>
      <c r="U105" s="168"/>
      <c r="V105" s="173"/>
      <c r="W105" s="128" t="s">
        <v>439</v>
      </c>
      <c r="X105" s="131" t="s">
        <v>392</v>
      </c>
    </row>
    <row r="106" spans="1:24" ht="16" customHeight="1" x14ac:dyDescent="0.25">
      <c r="A106" s="147"/>
      <c r="B106" s="31" t="s">
        <v>466</v>
      </c>
      <c r="C106" s="27" t="s">
        <v>436</v>
      </c>
      <c r="D106" s="35">
        <v>2</v>
      </c>
      <c r="E106" s="36"/>
      <c r="F106" s="36"/>
      <c r="G106" s="188"/>
      <c r="H106" s="36"/>
      <c r="I106" s="36"/>
      <c r="J106" s="61"/>
      <c r="K106" s="36"/>
      <c r="L106" s="40"/>
      <c r="M106" s="40"/>
      <c r="N106" s="40"/>
      <c r="O106" s="40"/>
      <c r="P106" s="40"/>
      <c r="Q106" s="40"/>
      <c r="R106" s="40"/>
      <c r="S106" s="168"/>
      <c r="T106" s="168"/>
      <c r="U106" s="168"/>
      <c r="V106" s="173"/>
      <c r="W106" s="46" t="s">
        <v>439</v>
      </c>
      <c r="X106" s="47" t="s">
        <v>386</v>
      </c>
    </row>
    <row r="107" spans="1:24" ht="16" customHeight="1" x14ac:dyDescent="0.25">
      <c r="A107" s="147"/>
      <c r="B107" s="37" t="s">
        <v>465</v>
      </c>
      <c r="C107" s="27" t="s">
        <v>436</v>
      </c>
      <c r="D107" s="35">
        <v>2</v>
      </c>
      <c r="E107" s="36"/>
      <c r="F107" s="36"/>
      <c r="G107" s="188"/>
      <c r="H107" s="36"/>
      <c r="I107" s="36"/>
      <c r="J107" s="61"/>
      <c r="K107" s="36"/>
      <c r="L107" s="40"/>
      <c r="M107" s="40"/>
      <c r="N107" s="40"/>
      <c r="O107" s="40"/>
      <c r="P107" s="40"/>
      <c r="Q107" s="40"/>
      <c r="R107" s="40"/>
      <c r="S107" s="168"/>
      <c r="T107" s="168"/>
      <c r="U107" s="168"/>
      <c r="V107" s="173"/>
      <c r="W107" s="46" t="s">
        <v>439</v>
      </c>
      <c r="X107" s="35" t="s">
        <v>394</v>
      </c>
    </row>
    <row r="108" spans="1:24" ht="16" customHeight="1" x14ac:dyDescent="0.25">
      <c r="A108" s="147"/>
      <c r="B108" s="31" t="s">
        <v>474</v>
      </c>
      <c r="C108" s="27" t="s">
        <v>445</v>
      </c>
      <c r="D108" s="35">
        <v>1</v>
      </c>
      <c r="E108" s="36"/>
      <c r="F108" s="36"/>
      <c r="G108" s="188"/>
      <c r="H108" s="36"/>
      <c r="I108" s="36"/>
      <c r="J108" s="61"/>
      <c r="K108" s="36"/>
      <c r="L108" s="40"/>
      <c r="M108" s="40"/>
      <c r="N108" s="40"/>
      <c r="O108" s="40"/>
      <c r="P108" s="40"/>
      <c r="Q108" s="40"/>
      <c r="R108" s="40"/>
      <c r="S108" s="168"/>
      <c r="T108" s="168"/>
      <c r="U108" s="168"/>
      <c r="V108" s="173"/>
      <c r="W108" s="46" t="s">
        <v>439</v>
      </c>
      <c r="X108" s="35" t="s">
        <v>421</v>
      </c>
    </row>
    <row r="109" spans="1:24" ht="16" customHeight="1" x14ac:dyDescent="0.25">
      <c r="A109" s="147"/>
      <c r="B109" s="31" t="s">
        <v>472</v>
      </c>
      <c r="C109" s="27" t="s">
        <v>445</v>
      </c>
      <c r="D109" s="35">
        <v>1</v>
      </c>
      <c r="E109" s="36"/>
      <c r="F109" s="36"/>
      <c r="G109" s="188"/>
      <c r="H109" s="36"/>
      <c r="I109" s="36"/>
      <c r="J109" s="61"/>
      <c r="K109" s="36"/>
      <c r="L109" s="40"/>
      <c r="M109" s="40"/>
      <c r="N109" s="40"/>
      <c r="O109" s="40"/>
      <c r="P109" s="40"/>
      <c r="Q109" s="40"/>
      <c r="R109" s="40"/>
      <c r="S109" s="168"/>
      <c r="T109" s="168"/>
      <c r="U109" s="168"/>
      <c r="V109" s="173"/>
      <c r="W109" s="46" t="s">
        <v>439</v>
      </c>
      <c r="X109" s="32" t="s">
        <v>413</v>
      </c>
    </row>
    <row r="110" spans="1:24" ht="16" customHeight="1" x14ac:dyDescent="0.25">
      <c r="A110" s="147"/>
      <c r="B110" s="54" t="s">
        <v>480</v>
      </c>
      <c r="C110" s="27" t="s">
        <v>445</v>
      </c>
      <c r="D110" s="35">
        <v>1</v>
      </c>
      <c r="E110" s="36"/>
      <c r="F110" s="36"/>
      <c r="G110" s="188"/>
      <c r="H110" s="36"/>
      <c r="I110" s="36"/>
      <c r="J110" s="61"/>
      <c r="K110" s="36"/>
      <c r="L110" s="40"/>
      <c r="M110" s="40"/>
      <c r="N110" s="40"/>
      <c r="O110" s="40"/>
      <c r="P110" s="40"/>
      <c r="Q110" s="40"/>
      <c r="R110" s="40"/>
      <c r="S110" s="169"/>
      <c r="T110" s="169"/>
      <c r="U110" s="169"/>
      <c r="V110" s="173"/>
      <c r="W110" s="46" t="s">
        <v>439</v>
      </c>
      <c r="X110" s="35" t="s">
        <v>375</v>
      </c>
    </row>
    <row r="111" spans="1:24" ht="16" customHeight="1" x14ac:dyDescent="0.25">
      <c r="A111" s="145" t="s">
        <v>482</v>
      </c>
      <c r="B111" s="52" t="s">
        <v>483</v>
      </c>
      <c r="C111" s="27" t="s">
        <v>436</v>
      </c>
      <c r="D111" s="35">
        <v>4</v>
      </c>
      <c r="E111" s="36"/>
      <c r="F111" s="36"/>
      <c r="G111" s="188"/>
      <c r="H111" s="36"/>
      <c r="I111" s="61"/>
      <c r="J111" s="36"/>
      <c r="K111" s="36"/>
      <c r="L111" s="40"/>
      <c r="M111" s="40"/>
      <c r="N111" s="40"/>
      <c r="O111" s="40"/>
      <c r="P111" s="40"/>
      <c r="Q111" s="40"/>
      <c r="R111" s="167" t="s">
        <v>484</v>
      </c>
      <c r="S111" s="167" t="s">
        <v>485</v>
      </c>
      <c r="T111" s="167" t="s">
        <v>486</v>
      </c>
      <c r="U111" s="167" t="s">
        <v>487</v>
      </c>
      <c r="V111" s="173" t="s">
        <v>441</v>
      </c>
      <c r="W111" s="46" t="s">
        <v>441</v>
      </c>
      <c r="X111" s="62" t="s">
        <v>406</v>
      </c>
    </row>
    <row r="112" spans="1:24" ht="16" customHeight="1" x14ac:dyDescent="0.25">
      <c r="A112" s="145"/>
      <c r="B112" s="34" t="s">
        <v>488</v>
      </c>
      <c r="C112" s="27" t="s">
        <v>436</v>
      </c>
      <c r="D112" s="35">
        <v>6</v>
      </c>
      <c r="E112" s="36"/>
      <c r="F112" s="36"/>
      <c r="G112" s="188"/>
      <c r="H112" s="36"/>
      <c r="I112" s="61"/>
      <c r="J112" s="36"/>
      <c r="K112" s="36"/>
      <c r="L112" s="40"/>
      <c r="M112" s="40"/>
      <c r="N112" s="40"/>
      <c r="O112" s="40"/>
      <c r="P112" s="40"/>
      <c r="Q112" s="40"/>
      <c r="R112" s="168"/>
      <c r="S112" s="168"/>
      <c r="T112" s="168"/>
      <c r="U112" s="168"/>
      <c r="V112" s="173"/>
      <c r="W112" s="46" t="s">
        <v>439</v>
      </c>
      <c r="X112" s="62" t="s">
        <v>416</v>
      </c>
    </row>
    <row r="113" spans="1:24" ht="16" customHeight="1" x14ac:dyDescent="0.25">
      <c r="A113" s="145"/>
      <c r="B113" s="31" t="s">
        <v>489</v>
      </c>
      <c r="C113" s="27" t="s">
        <v>436</v>
      </c>
      <c r="D113" s="35">
        <v>4</v>
      </c>
      <c r="E113" s="36"/>
      <c r="F113" s="36"/>
      <c r="G113" s="188"/>
      <c r="H113" s="36"/>
      <c r="I113" s="61"/>
      <c r="J113" s="36"/>
      <c r="K113" s="36"/>
      <c r="L113" s="40"/>
      <c r="M113" s="40"/>
      <c r="N113" s="40"/>
      <c r="O113" s="40"/>
      <c r="P113" s="40"/>
      <c r="Q113" s="40"/>
      <c r="R113" s="168"/>
      <c r="S113" s="168"/>
      <c r="T113" s="168"/>
      <c r="U113" s="168"/>
      <c r="V113" s="173"/>
      <c r="W113" s="46" t="s">
        <v>439</v>
      </c>
      <c r="X113" s="62" t="s">
        <v>375</v>
      </c>
    </row>
    <row r="114" spans="1:24" ht="16" customHeight="1" x14ac:dyDescent="0.25">
      <c r="A114" s="145"/>
      <c r="B114" s="31" t="s">
        <v>490</v>
      </c>
      <c r="C114" s="27" t="s">
        <v>436</v>
      </c>
      <c r="D114" s="35">
        <v>6</v>
      </c>
      <c r="E114" s="36"/>
      <c r="F114" s="36"/>
      <c r="G114" s="188"/>
      <c r="H114" s="36"/>
      <c r="I114" s="61"/>
      <c r="J114" s="36"/>
      <c r="K114" s="36"/>
      <c r="L114" s="40"/>
      <c r="M114" s="40"/>
      <c r="N114" s="40"/>
      <c r="O114" s="40"/>
      <c r="P114" s="40"/>
      <c r="Q114" s="40"/>
      <c r="R114" s="168"/>
      <c r="S114" s="168"/>
      <c r="T114" s="168"/>
      <c r="U114" s="168"/>
      <c r="V114" s="173"/>
      <c r="W114" s="46" t="s">
        <v>441</v>
      </c>
      <c r="X114" s="35" t="s">
        <v>419</v>
      </c>
    </row>
    <row r="115" spans="1:24" ht="16" customHeight="1" x14ac:dyDescent="0.25">
      <c r="A115" s="145"/>
      <c r="B115" s="52" t="s">
        <v>491</v>
      </c>
      <c r="C115" s="27" t="s">
        <v>436</v>
      </c>
      <c r="D115" s="55">
        <v>6</v>
      </c>
      <c r="E115" s="18"/>
      <c r="F115" s="18"/>
      <c r="G115" s="190"/>
      <c r="H115" s="18"/>
      <c r="I115" s="61"/>
      <c r="J115" s="18"/>
      <c r="K115" s="18"/>
      <c r="L115" s="40"/>
      <c r="M115" s="40"/>
      <c r="N115" s="40"/>
      <c r="O115" s="40"/>
      <c r="P115" s="40"/>
      <c r="Q115" s="40"/>
      <c r="R115" s="168"/>
      <c r="S115" s="168"/>
      <c r="T115" s="168"/>
      <c r="U115" s="168"/>
      <c r="V115" s="173"/>
      <c r="W115" s="46" t="s">
        <v>441</v>
      </c>
      <c r="X115" s="35" t="s">
        <v>390</v>
      </c>
    </row>
    <row r="116" spans="1:24" ht="16" customHeight="1" x14ac:dyDescent="0.25">
      <c r="A116" s="145"/>
      <c r="B116" s="52" t="s">
        <v>466</v>
      </c>
      <c r="C116" s="27" t="s">
        <v>436</v>
      </c>
      <c r="D116" s="55">
        <v>2</v>
      </c>
      <c r="E116" s="18"/>
      <c r="F116" s="18"/>
      <c r="G116" s="190"/>
      <c r="H116" s="18"/>
      <c r="I116" s="61"/>
      <c r="J116" s="18"/>
      <c r="K116" s="18"/>
      <c r="L116" s="40"/>
      <c r="M116" s="40"/>
      <c r="N116" s="40"/>
      <c r="O116" s="40"/>
      <c r="P116" s="40"/>
      <c r="Q116" s="40"/>
      <c r="R116" s="168"/>
      <c r="S116" s="168"/>
      <c r="T116" s="168"/>
      <c r="U116" s="168"/>
      <c r="V116" s="173"/>
      <c r="W116" s="46" t="s">
        <v>439</v>
      </c>
      <c r="X116" s="35" t="s">
        <v>386</v>
      </c>
    </row>
    <row r="117" spans="1:24" ht="16" customHeight="1" x14ac:dyDescent="0.25">
      <c r="A117" s="145"/>
      <c r="B117" s="37" t="s">
        <v>465</v>
      </c>
      <c r="C117" s="27" t="s">
        <v>436</v>
      </c>
      <c r="D117" s="55">
        <v>2</v>
      </c>
      <c r="E117" s="18"/>
      <c r="F117" s="18"/>
      <c r="G117" s="190"/>
      <c r="H117" s="18"/>
      <c r="I117" s="61"/>
      <c r="J117" s="18"/>
      <c r="K117" s="18"/>
      <c r="L117" s="40"/>
      <c r="M117" s="40"/>
      <c r="N117" s="40"/>
      <c r="O117" s="40"/>
      <c r="P117" s="40"/>
      <c r="Q117" s="40"/>
      <c r="R117" s="168"/>
      <c r="S117" s="168"/>
      <c r="T117" s="168"/>
      <c r="U117" s="168"/>
      <c r="V117" s="173"/>
      <c r="W117" s="46" t="s">
        <v>439</v>
      </c>
      <c r="X117" s="35" t="s">
        <v>394</v>
      </c>
    </row>
    <row r="118" spans="1:24" ht="16" customHeight="1" x14ac:dyDescent="0.25">
      <c r="A118" s="145"/>
      <c r="B118" s="52" t="s">
        <v>484</v>
      </c>
      <c r="C118" s="27" t="s">
        <v>445</v>
      </c>
      <c r="D118" s="55">
        <v>1</v>
      </c>
      <c r="E118" s="18"/>
      <c r="F118" s="18"/>
      <c r="G118" s="190"/>
      <c r="H118" s="18"/>
      <c r="I118" s="61"/>
      <c r="J118" s="18"/>
      <c r="K118" s="18"/>
      <c r="L118" s="40"/>
      <c r="M118" s="40"/>
      <c r="N118" s="40"/>
      <c r="O118" s="40"/>
      <c r="P118" s="40"/>
      <c r="Q118" s="40"/>
      <c r="R118" s="168"/>
      <c r="S118" s="168"/>
      <c r="T118" s="168"/>
      <c r="U118" s="168"/>
      <c r="V118" s="173"/>
      <c r="W118" s="46" t="s">
        <v>439</v>
      </c>
      <c r="X118" s="35" t="s">
        <v>419</v>
      </c>
    </row>
    <row r="119" spans="1:24" ht="16" customHeight="1" x14ac:dyDescent="0.25">
      <c r="A119" s="145"/>
      <c r="B119" s="52" t="s">
        <v>485</v>
      </c>
      <c r="C119" s="27" t="s">
        <v>445</v>
      </c>
      <c r="D119" s="55">
        <v>1</v>
      </c>
      <c r="E119" s="18"/>
      <c r="F119" s="18"/>
      <c r="G119" s="190"/>
      <c r="H119" s="18"/>
      <c r="I119" s="61"/>
      <c r="J119" s="18"/>
      <c r="K119" s="18"/>
      <c r="L119" s="40"/>
      <c r="M119" s="40"/>
      <c r="N119" s="40"/>
      <c r="O119" s="40"/>
      <c r="P119" s="40"/>
      <c r="Q119" s="40"/>
      <c r="R119" s="169"/>
      <c r="S119" s="169"/>
      <c r="T119" s="169"/>
      <c r="U119" s="169"/>
      <c r="V119" s="173"/>
      <c r="W119" s="46" t="s">
        <v>439</v>
      </c>
      <c r="X119" s="35" t="s">
        <v>492</v>
      </c>
    </row>
    <row r="120" spans="1:24" ht="16" customHeight="1" x14ac:dyDescent="0.25">
      <c r="A120" s="145"/>
      <c r="B120" s="52" t="s">
        <v>486</v>
      </c>
      <c r="C120" s="27" t="s">
        <v>445</v>
      </c>
      <c r="D120" s="55">
        <v>1</v>
      </c>
      <c r="E120" s="18"/>
      <c r="F120" s="18"/>
      <c r="G120" s="190"/>
      <c r="H120" s="18"/>
      <c r="I120" s="61"/>
      <c r="J120" s="18"/>
      <c r="K120" s="18"/>
      <c r="L120" s="44"/>
      <c r="M120" s="40"/>
      <c r="N120" s="40"/>
      <c r="O120" s="40"/>
      <c r="P120" s="40"/>
      <c r="Q120" s="40"/>
      <c r="R120" s="40"/>
      <c r="S120" s="40"/>
      <c r="T120" s="40"/>
      <c r="U120" s="40"/>
      <c r="V120" s="173"/>
      <c r="W120" s="46" t="s">
        <v>439</v>
      </c>
      <c r="X120" s="35" t="s">
        <v>492</v>
      </c>
    </row>
    <row r="121" spans="1:24" ht="16" customHeight="1" x14ac:dyDescent="0.25">
      <c r="A121" s="145"/>
      <c r="B121" s="52" t="s">
        <v>487</v>
      </c>
      <c r="C121" s="27" t="s">
        <v>445</v>
      </c>
      <c r="D121" s="55">
        <v>1</v>
      </c>
      <c r="E121" s="18"/>
      <c r="F121" s="18"/>
      <c r="G121" s="190"/>
      <c r="H121" s="18"/>
      <c r="I121" s="61"/>
      <c r="J121" s="18"/>
      <c r="K121" s="18"/>
      <c r="L121" s="44"/>
      <c r="M121" s="40"/>
      <c r="N121" s="40"/>
      <c r="O121" s="40"/>
      <c r="P121" s="40"/>
      <c r="Q121" s="40"/>
      <c r="R121" s="40"/>
      <c r="S121" s="40"/>
      <c r="T121" s="40"/>
      <c r="U121" s="40"/>
      <c r="V121" s="173"/>
      <c r="W121" s="46" t="s">
        <v>439</v>
      </c>
      <c r="X121" s="35" t="s">
        <v>493</v>
      </c>
    </row>
    <row r="122" spans="1:24" ht="16" customHeight="1" x14ac:dyDescent="0.25">
      <c r="A122" s="146" t="s">
        <v>494</v>
      </c>
      <c r="B122" s="37" t="s">
        <v>495</v>
      </c>
      <c r="C122" s="27" t="s">
        <v>436</v>
      </c>
      <c r="D122" s="56">
        <v>4</v>
      </c>
      <c r="E122" s="57"/>
      <c r="F122" s="57"/>
      <c r="G122" s="191"/>
      <c r="H122" s="57"/>
      <c r="I122" s="57"/>
      <c r="J122" s="57"/>
      <c r="K122" s="57"/>
      <c r="L122" s="44"/>
      <c r="M122" s="41"/>
      <c r="N122" s="41"/>
      <c r="O122" s="170" t="s">
        <v>496</v>
      </c>
      <c r="P122" s="41"/>
      <c r="Q122" s="170" t="s">
        <v>497</v>
      </c>
      <c r="R122" s="41"/>
      <c r="S122" s="41"/>
      <c r="T122" s="41"/>
      <c r="U122" s="41"/>
      <c r="V122" s="170" t="s">
        <v>441</v>
      </c>
      <c r="W122" s="46" t="s">
        <v>441</v>
      </c>
      <c r="X122" s="32" t="s">
        <v>387</v>
      </c>
    </row>
    <row r="123" spans="1:24" ht="16" customHeight="1" x14ac:dyDescent="0.25">
      <c r="A123" s="147"/>
      <c r="B123" s="37" t="s">
        <v>498</v>
      </c>
      <c r="C123" s="27" t="s">
        <v>436</v>
      </c>
      <c r="D123" s="56">
        <v>4</v>
      </c>
      <c r="E123" s="57"/>
      <c r="F123" s="57"/>
      <c r="G123" s="191"/>
      <c r="H123" s="57"/>
      <c r="I123" s="57"/>
      <c r="J123" s="57"/>
      <c r="K123" s="57"/>
      <c r="L123" s="44"/>
      <c r="M123" s="41"/>
      <c r="N123" s="41"/>
      <c r="O123" s="171"/>
      <c r="P123" s="41"/>
      <c r="Q123" s="171"/>
      <c r="R123" s="41"/>
      <c r="S123" s="41"/>
      <c r="T123" s="41"/>
      <c r="U123" s="41"/>
      <c r="V123" s="171"/>
      <c r="W123" s="46" t="s">
        <v>441</v>
      </c>
      <c r="X123" s="32" t="s">
        <v>393</v>
      </c>
    </row>
    <row r="124" spans="1:24" ht="16" customHeight="1" x14ac:dyDescent="0.25">
      <c r="A124" s="147"/>
      <c r="B124" s="58" t="s">
        <v>499</v>
      </c>
      <c r="C124" s="27" t="s">
        <v>436</v>
      </c>
      <c r="D124" s="56">
        <v>4</v>
      </c>
      <c r="E124" s="57"/>
      <c r="F124" s="57"/>
      <c r="G124" s="191"/>
      <c r="H124" s="57"/>
      <c r="I124" s="57"/>
      <c r="J124" s="57"/>
      <c r="K124" s="57"/>
      <c r="L124" s="44"/>
      <c r="M124" s="41"/>
      <c r="N124" s="41"/>
      <c r="O124" s="171"/>
      <c r="P124" s="41"/>
      <c r="Q124" s="171"/>
      <c r="R124" s="41"/>
      <c r="S124" s="41"/>
      <c r="T124" s="41"/>
      <c r="U124" s="41"/>
      <c r="V124" s="171"/>
      <c r="W124" s="46" t="s">
        <v>439</v>
      </c>
      <c r="X124" s="32" t="s">
        <v>394</v>
      </c>
    </row>
    <row r="125" spans="1:24" ht="16" customHeight="1" x14ac:dyDescent="0.25">
      <c r="A125" s="147"/>
      <c r="B125" s="31" t="s">
        <v>500</v>
      </c>
      <c r="C125" s="27" t="s">
        <v>436</v>
      </c>
      <c r="D125" s="56">
        <v>4</v>
      </c>
      <c r="E125" s="57"/>
      <c r="F125" s="57"/>
      <c r="G125" s="191"/>
      <c r="H125" s="57"/>
      <c r="I125" s="57"/>
      <c r="J125" s="57"/>
      <c r="K125" s="57"/>
      <c r="L125" s="44"/>
      <c r="M125" s="41"/>
      <c r="N125" s="41"/>
      <c r="O125" s="171"/>
      <c r="P125" s="41"/>
      <c r="Q125" s="171"/>
      <c r="R125" s="41"/>
      <c r="S125" s="41"/>
      <c r="T125" s="41"/>
      <c r="U125" s="41"/>
      <c r="V125" s="171"/>
      <c r="W125" s="46" t="s">
        <v>441</v>
      </c>
      <c r="X125" s="32" t="s">
        <v>395</v>
      </c>
    </row>
    <row r="126" spans="1:24" ht="16" customHeight="1" x14ac:dyDescent="0.25">
      <c r="A126" s="147"/>
      <c r="B126" s="37" t="s">
        <v>501</v>
      </c>
      <c r="C126" s="27" t="s">
        <v>436</v>
      </c>
      <c r="D126" s="59">
        <v>2</v>
      </c>
      <c r="E126" s="60"/>
      <c r="F126" s="60"/>
      <c r="G126" s="192"/>
      <c r="H126" s="60"/>
      <c r="I126" s="60"/>
      <c r="J126" s="60"/>
      <c r="K126" s="60"/>
      <c r="L126" s="44"/>
      <c r="M126" s="41"/>
      <c r="N126" s="41"/>
      <c r="O126" s="171"/>
      <c r="P126" s="41"/>
      <c r="Q126" s="171"/>
      <c r="R126" s="41"/>
      <c r="S126" s="41"/>
      <c r="T126" s="41"/>
      <c r="U126" s="41"/>
      <c r="V126" s="171"/>
      <c r="W126" s="46" t="s">
        <v>439</v>
      </c>
      <c r="X126" s="32" t="s">
        <v>381</v>
      </c>
    </row>
    <row r="127" spans="1:24" ht="16" customHeight="1" x14ac:dyDescent="0.25">
      <c r="A127" s="147"/>
      <c r="B127" s="37" t="s">
        <v>502</v>
      </c>
      <c r="C127" s="27" t="s">
        <v>436</v>
      </c>
      <c r="D127" s="35">
        <v>4</v>
      </c>
      <c r="E127" s="36"/>
      <c r="F127" s="36"/>
      <c r="G127" s="188"/>
      <c r="H127" s="36"/>
      <c r="I127" s="36"/>
      <c r="J127" s="36"/>
      <c r="K127" s="36"/>
      <c r="L127" s="44"/>
      <c r="M127" s="41"/>
      <c r="N127" s="41"/>
      <c r="O127" s="171"/>
      <c r="P127" s="41"/>
      <c r="Q127" s="171"/>
      <c r="R127" s="41"/>
      <c r="S127" s="41"/>
      <c r="T127" s="41"/>
      <c r="U127" s="41"/>
      <c r="V127" s="171"/>
      <c r="W127" s="46" t="s">
        <v>441</v>
      </c>
      <c r="X127" s="32" t="s">
        <v>398</v>
      </c>
    </row>
    <row r="128" spans="1:24" ht="16" customHeight="1" x14ac:dyDescent="0.25">
      <c r="A128" s="147"/>
      <c r="B128" s="37" t="s">
        <v>503</v>
      </c>
      <c r="C128" s="27" t="s">
        <v>436</v>
      </c>
      <c r="D128" s="59">
        <v>2</v>
      </c>
      <c r="E128" s="60"/>
      <c r="F128" s="60"/>
      <c r="G128" s="192"/>
      <c r="H128" s="60"/>
      <c r="I128" s="60"/>
      <c r="J128" s="60"/>
      <c r="K128" s="60"/>
      <c r="L128" s="44"/>
      <c r="M128" s="41"/>
      <c r="N128" s="41"/>
      <c r="O128" s="171"/>
      <c r="P128" s="41"/>
      <c r="Q128" s="171"/>
      <c r="R128" s="41"/>
      <c r="S128" s="41"/>
      <c r="T128" s="41"/>
      <c r="U128" s="41"/>
      <c r="V128" s="171"/>
      <c r="W128" s="46" t="s">
        <v>439</v>
      </c>
      <c r="X128" s="32" t="s">
        <v>383</v>
      </c>
    </row>
    <row r="129" spans="1:24" ht="16" customHeight="1" x14ac:dyDescent="0.25">
      <c r="A129" s="147"/>
      <c r="B129" s="37" t="s">
        <v>504</v>
      </c>
      <c r="C129" s="27" t="s">
        <v>436</v>
      </c>
      <c r="D129" s="59">
        <v>2</v>
      </c>
      <c r="E129" s="60"/>
      <c r="F129" s="60"/>
      <c r="G129" s="192"/>
      <c r="H129" s="60"/>
      <c r="I129" s="60"/>
      <c r="J129" s="60"/>
      <c r="K129" s="60"/>
      <c r="L129" s="44"/>
      <c r="M129" s="41"/>
      <c r="N129" s="41"/>
      <c r="O129" s="171"/>
      <c r="P129" s="41"/>
      <c r="Q129" s="171"/>
      <c r="R129" s="41"/>
      <c r="S129" s="41"/>
      <c r="T129" s="41"/>
      <c r="U129" s="41"/>
      <c r="V129" s="171"/>
      <c r="W129" s="46" t="s">
        <v>439</v>
      </c>
      <c r="X129" s="32" t="s">
        <v>385</v>
      </c>
    </row>
    <row r="130" spans="1:24" ht="16" customHeight="1" x14ac:dyDescent="0.25">
      <c r="A130" s="147"/>
      <c r="B130" s="37" t="s">
        <v>505</v>
      </c>
      <c r="C130" s="27" t="s">
        <v>436</v>
      </c>
      <c r="D130" s="59">
        <v>2</v>
      </c>
      <c r="E130" s="60"/>
      <c r="F130" s="60"/>
      <c r="G130" s="192"/>
      <c r="H130" s="60"/>
      <c r="I130" s="60"/>
      <c r="J130" s="60"/>
      <c r="K130" s="60"/>
      <c r="L130" s="44"/>
      <c r="M130" s="41"/>
      <c r="N130" s="41"/>
      <c r="O130" s="171"/>
      <c r="P130" s="41"/>
      <c r="Q130" s="171"/>
      <c r="R130" s="41"/>
      <c r="S130" s="41"/>
      <c r="T130" s="41"/>
      <c r="U130" s="41"/>
      <c r="V130" s="171"/>
      <c r="W130" s="46" t="s">
        <v>439</v>
      </c>
      <c r="X130" s="32" t="s">
        <v>384</v>
      </c>
    </row>
    <row r="131" spans="1:24" ht="16" customHeight="1" x14ac:dyDescent="0.25">
      <c r="A131" s="147"/>
      <c r="B131" s="37" t="s">
        <v>496</v>
      </c>
      <c r="C131" s="27" t="s">
        <v>445</v>
      </c>
      <c r="D131" s="59">
        <v>1</v>
      </c>
      <c r="E131" s="60"/>
      <c r="F131" s="60"/>
      <c r="G131" s="192"/>
      <c r="H131" s="60"/>
      <c r="I131" s="60"/>
      <c r="J131" s="60"/>
      <c r="K131" s="60"/>
      <c r="L131" s="44"/>
      <c r="M131" s="41"/>
      <c r="N131" s="41"/>
      <c r="O131" s="172"/>
      <c r="P131" s="41"/>
      <c r="Q131" s="172"/>
      <c r="R131" s="41"/>
      <c r="S131" s="41"/>
      <c r="T131" s="41"/>
      <c r="U131" s="41"/>
      <c r="V131" s="171"/>
      <c r="W131" s="46" t="s">
        <v>439</v>
      </c>
      <c r="X131" s="32" t="s">
        <v>398</v>
      </c>
    </row>
    <row r="132" spans="1:24" ht="16" customHeight="1" x14ac:dyDescent="0.25">
      <c r="A132" s="146" t="s">
        <v>506</v>
      </c>
      <c r="B132" s="37" t="s">
        <v>495</v>
      </c>
      <c r="C132" s="27" t="s">
        <v>436</v>
      </c>
      <c r="D132" s="56">
        <v>4</v>
      </c>
      <c r="E132" s="57"/>
      <c r="F132" s="57"/>
      <c r="G132" s="191"/>
      <c r="H132" s="57"/>
      <c r="I132" s="57"/>
      <c r="J132" s="57"/>
      <c r="K132" s="57"/>
      <c r="L132" s="41"/>
      <c r="M132" s="41"/>
      <c r="N132" s="170" t="s">
        <v>497</v>
      </c>
      <c r="O132" s="41"/>
      <c r="P132" s="170" t="s">
        <v>496</v>
      </c>
      <c r="Q132" s="41"/>
      <c r="R132" s="41"/>
      <c r="S132" s="41"/>
      <c r="T132" s="41"/>
      <c r="U132" s="41"/>
      <c r="V132" s="170" t="s">
        <v>441</v>
      </c>
      <c r="W132" s="46" t="s">
        <v>441</v>
      </c>
      <c r="X132" s="32" t="s">
        <v>387</v>
      </c>
    </row>
    <row r="133" spans="1:24" ht="16" customHeight="1" x14ac:dyDescent="0.25">
      <c r="A133" s="147"/>
      <c r="B133" s="37" t="s">
        <v>498</v>
      </c>
      <c r="C133" s="27" t="s">
        <v>436</v>
      </c>
      <c r="D133" s="56">
        <v>4</v>
      </c>
      <c r="E133" s="57"/>
      <c r="F133" s="57"/>
      <c r="G133" s="191"/>
      <c r="H133" s="57"/>
      <c r="I133" s="57"/>
      <c r="J133" s="57"/>
      <c r="K133" s="57"/>
      <c r="L133" s="41"/>
      <c r="M133" s="41"/>
      <c r="N133" s="171"/>
      <c r="O133" s="41"/>
      <c r="P133" s="171"/>
      <c r="Q133" s="41"/>
      <c r="R133" s="41"/>
      <c r="S133" s="41"/>
      <c r="T133" s="41"/>
      <c r="U133" s="41"/>
      <c r="V133" s="171"/>
      <c r="W133" s="46" t="s">
        <v>441</v>
      </c>
      <c r="X133" s="32" t="s">
        <v>393</v>
      </c>
    </row>
    <row r="134" spans="1:24" ht="16" customHeight="1" x14ac:dyDescent="0.25">
      <c r="A134" s="147"/>
      <c r="B134" s="58" t="s">
        <v>499</v>
      </c>
      <c r="C134" s="27" t="s">
        <v>436</v>
      </c>
      <c r="D134" s="56">
        <v>4</v>
      </c>
      <c r="E134" s="57"/>
      <c r="F134" s="57"/>
      <c r="G134" s="191"/>
      <c r="H134" s="57"/>
      <c r="I134" s="57"/>
      <c r="J134" s="57"/>
      <c r="K134" s="57"/>
      <c r="L134" s="41"/>
      <c r="M134" s="41"/>
      <c r="N134" s="171"/>
      <c r="O134" s="41"/>
      <c r="P134" s="171"/>
      <c r="Q134" s="41"/>
      <c r="R134" s="41"/>
      <c r="S134" s="41"/>
      <c r="T134" s="41"/>
      <c r="U134" s="41"/>
      <c r="V134" s="171"/>
      <c r="W134" s="46" t="s">
        <v>439</v>
      </c>
      <c r="X134" s="32" t="s">
        <v>394</v>
      </c>
    </row>
    <row r="135" spans="1:24" ht="16" customHeight="1" x14ac:dyDescent="0.25">
      <c r="A135" s="147"/>
      <c r="B135" s="31" t="s">
        <v>500</v>
      </c>
      <c r="C135" s="27" t="s">
        <v>436</v>
      </c>
      <c r="D135" s="56">
        <v>4</v>
      </c>
      <c r="E135" s="57"/>
      <c r="F135" s="57"/>
      <c r="G135" s="191"/>
      <c r="H135" s="57"/>
      <c r="I135" s="57"/>
      <c r="J135" s="57"/>
      <c r="K135" s="57"/>
      <c r="L135" s="41"/>
      <c r="M135" s="41"/>
      <c r="N135" s="171"/>
      <c r="O135" s="41"/>
      <c r="P135" s="171"/>
      <c r="Q135" s="41"/>
      <c r="R135" s="41"/>
      <c r="S135" s="41"/>
      <c r="T135" s="41"/>
      <c r="U135" s="41"/>
      <c r="V135" s="171"/>
      <c r="W135" s="46" t="s">
        <v>441</v>
      </c>
      <c r="X135" s="32" t="s">
        <v>391</v>
      </c>
    </row>
    <row r="136" spans="1:24" ht="16" customHeight="1" x14ac:dyDescent="0.25">
      <c r="A136" s="147"/>
      <c r="B136" s="37" t="s">
        <v>501</v>
      </c>
      <c r="C136" s="27" t="s">
        <v>436</v>
      </c>
      <c r="D136" s="59">
        <v>2</v>
      </c>
      <c r="E136" s="60"/>
      <c r="F136" s="60"/>
      <c r="G136" s="192"/>
      <c r="H136" s="60"/>
      <c r="I136" s="60"/>
      <c r="J136" s="60"/>
      <c r="K136" s="60"/>
      <c r="L136" s="41"/>
      <c r="M136" s="41"/>
      <c r="N136" s="171"/>
      <c r="O136" s="41"/>
      <c r="P136" s="171"/>
      <c r="Q136" s="41"/>
      <c r="R136" s="41"/>
      <c r="S136" s="41"/>
      <c r="T136" s="41"/>
      <c r="U136" s="41"/>
      <c r="V136" s="171"/>
      <c r="W136" s="46" t="s">
        <v>439</v>
      </c>
      <c r="X136" s="32" t="s">
        <v>382</v>
      </c>
    </row>
    <row r="137" spans="1:24" ht="16" customHeight="1" x14ac:dyDescent="0.25">
      <c r="A137" s="147"/>
      <c r="B137" s="37" t="s">
        <v>502</v>
      </c>
      <c r="C137" s="27" t="s">
        <v>436</v>
      </c>
      <c r="D137" s="35">
        <v>4</v>
      </c>
      <c r="E137" s="36"/>
      <c r="F137" s="36"/>
      <c r="G137" s="188"/>
      <c r="H137" s="36"/>
      <c r="I137" s="36"/>
      <c r="J137" s="36"/>
      <c r="K137" s="36"/>
      <c r="L137" s="41"/>
      <c r="M137" s="41"/>
      <c r="N137" s="171"/>
      <c r="O137" s="41"/>
      <c r="P137" s="171"/>
      <c r="Q137" s="41"/>
      <c r="R137" s="41"/>
      <c r="S137" s="41"/>
      <c r="T137" s="41"/>
      <c r="U137" s="41"/>
      <c r="V137" s="171"/>
      <c r="W137" s="46" t="s">
        <v>441</v>
      </c>
      <c r="X137" s="32" t="s">
        <v>398</v>
      </c>
    </row>
    <row r="138" spans="1:24" ht="16" customHeight="1" x14ac:dyDescent="0.25">
      <c r="A138" s="147"/>
      <c r="B138" s="37" t="s">
        <v>503</v>
      </c>
      <c r="C138" s="27" t="s">
        <v>436</v>
      </c>
      <c r="D138" s="59">
        <v>2</v>
      </c>
      <c r="E138" s="60"/>
      <c r="F138" s="60"/>
      <c r="G138" s="192"/>
      <c r="H138" s="60"/>
      <c r="I138" s="60"/>
      <c r="J138" s="60"/>
      <c r="K138" s="60"/>
      <c r="L138" s="41"/>
      <c r="M138" s="41"/>
      <c r="N138" s="171"/>
      <c r="O138" s="41"/>
      <c r="P138" s="171"/>
      <c r="Q138" s="41"/>
      <c r="R138" s="41"/>
      <c r="S138" s="41"/>
      <c r="T138" s="41"/>
      <c r="U138" s="41"/>
      <c r="V138" s="171"/>
      <c r="W138" s="46" t="s">
        <v>439</v>
      </c>
      <c r="X138" s="32" t="s">
        <v>383</v>
      </c>
    </row>
    <row r="139" spans="1:24" ht="16" customHeight="1" x14ac:dyDescent="0.25">
      <c r="A139" s="147"/>
      <c r="B139" s="37" t="s">
        <v>504</v>
      </c>
      <c r="C139" s="27" t="s">
        <v>436</v>
      </c>
      <c r="D139" s="59">
        <v>2</v>
      </c>
      <c r="E139" s="60"/>
      <c r="F139" s="60"/>
      <c r="G139" s="192"/>
      <c r="H139" s="60"/>
      <c r="I139" s="60"/>
      <c r="J139" s="60"/>
      <c r="K139" s="60"/>
      <c r="L139" s="41"/>
      <c r="M139" s="41"/>
      <c r="N139" s="171"/>
      <c r="O139" s="41"/>
      <c r="P139" s="171"/>
      <c r="Q139" s="41"/>
      <c r="R139" s="41"/>
      <c r="S139" s="41"/>
      <c r="T139" s="41"/>
      <c r="U139" s="41"/>
      <c r="V139" s="171"/>
      <c r="W139" s="46" t="s">
        <v>439</v>
      </c>
      <c r="X139" s="32" t="s">
        <v>385</v>
      </c>
    </row>
    <row r="140" spans="1:24" ht="16" customHeight="1" x14ac:dyDescent="0.25">
      <c r="A140" s="147"/>
      <c r="B140" s="37" t="s">
        <v>505</v>
      </c>
      <c r="C140" s="27" t="s">
        <v>436</v>
      </c>
      <c r="D140" s="59">
        <v>2</v>
      </c>
      <c r="E140" s="60"/>
      <c r="F140" s="60"/>
      <c r="G140" s="192"/>
      <c r="H140" s="60"/>
      <c r="I140" s="60"/>
      <c r="J140" s="60"/>
      <c r="K140" s="60"/>
      <c r="L140" s="41"/>
      <c r="M140" s="41"/>
      <c r="N140" s="171"/>
      <c r="O140" s="41"/>
      <c r="P140" s="171"/>
      <c r="Q140" s="41"/>
      <c r="R140" s="41"/>
      <c r="S140" s="41"/>
      <c r="T140" s="41"/>
      <c r="U140" s="41"/>
      <c r="V140" s="171"/>
      <c r="W140" s="46" t="s">
        <v>439</v>
      </c>
      <c r="X140" s="32" t="s">
        <v>384</v>
      </c>
    </row>
    <row r="141" spans="1:24" ht="16" customHeight="1" x14ac:dyDescent="0.25">
      <c r="A141" s="147"/>
      <c r="B141" s="37" t="s">
        <v>496</v>
      </c>
      <c r="C141" s="27" t="s">
        <v>445</v>
      </c>
      <c r="D141" s="59">
        <v>1</v>
      </c>
      <c r="E141" s="60"/>
      <c r="F141" s="60"/>
      <c r="G141" s="192"/>
      <c r="H141" s="60"/>
      <c r="I141" s="60"/>
      <c r="J141" s="60"/>
      <c r="K141" s="60"/>
      <c r="L141" s="41"/>
      <c r="M141" s="41"/>
      <c r="N141" s="172"/>
      <c r="O141" s="41"/>
      <c r="P141" s="172"/>
      <c r="Q141" s="41"/>
      <c r="R141" s="41"/>
      <c r="S141" s="41"/>
      <c r="T141" s="41"/>
      <c r="U141" s="41"/>
      <c r="V141" s="171"/>
      <c r="W141" s="46" t="s">
        <v>439</v>
      </c>
      <c r="X141" s="32" t="s">
        <v>398</v>
      </c>
    </row>
    <row r="142" spans="1:24" ht="16" customHeight="1" x14ac:dyDescent="0.25">
      <c r="A142" s="146" t="s">
        <v>507</v>
      </c>
      <c r="B142" s="37" t="s">
        <v>495</v>
      </c>
      <c r="C142" s="27" t="s">
        <v>436</v>
      </c>
      <c r="D142" s="56">
        <v>4</v>
      </c>
      <c r="E142" s="57"/>
      <c r="F142" s="57"/>
      <c r="G142" s="191"/>
      <c r="H142" s="57"/>
      <c r="I142" s="57"/>
      <c r="J142" s="57"/>
      <c r="K142" s="57"/>
      <c r="L142" s="41"/>
      <c r="M142" s="41"/>
      <c r="N142" s="76"/>
      <c r="O142" s="76"/>
      <c r="P142" s="170" t="s">
        <v>496</v>
      </c>
      <c r="Q142" s="41"/>
      <c r="R142" s="170" t="s">
        <v>497</v>
      </c>
      <c r="S142" s="41"/>
      <c r="T142" s="41"/>
      <c r="U142" s="41"/>
      <c r="V142" s="170" t="s">
        <v>441</v>
      </c>
      <c r="W142" s="46" t="s">
        <v>441</v>
      </c>
      <c r="X142" s="32" t="s">
        <v>388</v>
      </c>
    </row>
    <row r="143" spans="1:24" ht="16" customHeight="1" x14ac:dyDescent="0.25">
      <c r="A143" s="147"/>
      <c r="B143" s="37" t="s">
        <v>498</v>
      </c>
      <c r="C143" s="27" t="s">
        <v>436</v>
      </c>
      <c r="D143" s="56">
        <v>4</v>
      </c>
      <c r="E143" s="57"/>
      <c r="F143" s="57"/>
      <c r="G143" s="191"/>
      <c r="H143" s="57"/>
      <c r="I143" s="57"/>
      <c r="J143" s="57"/>
      <c r="K143" s="57"/>
      <c r="L143" s="41"/>
      <c r="M143" s="41"/>
      <c r="N143" s="76"/>
      <c r="O143" s="76"/>
      <c r="P143" s="171"/>
      <c r="Q143" s="41"/>
      <c r="R143" s="171"/>
      <c r="S143" s="41"/>
      <c r="T143" s="41"/>
      <c r="U143" s="41"/>
      <c r="V143" s="171"/>
      <c r="W143" s="46" t="s">
        <v>441</v>
      </c>
      <c r="X143" s="32" t="s">
        <v>393</v>
      </c>
    </row>
    <row r="144" spans="1:24" ht="16" customHeight="1" x14ac:dyDescent="0.25">
      <c r="A144" s="147"/>
      <c r="B144" s="58" t="s">
        <v>499</v>
      </c>
      <c r="C144" s="27" t="s">
        <v>436</v>
      </c>
      <c r="D144" s="56">
        <v>4</v>
      </c>
      <c r="E144" s="57"/>
      <c r="F144" s="57"/>
      <c r="G144" s="191"/>
      <c r="H144" s="57"/>
      <c r="I144" s="57"/>
      <c r="J144" s="57"/>
      <c r="K144" s="57"/>
      <c r="L144" s="41"/>
      <c r="M144" s="41"/>
      <c r="N144" s="76"/>
      <c r="O144" s="76"/>
      <c r="P144" s="171"/>
      <c r="Q144" s="41"/>
      <c r="R144" s="171"/>
      <c r="S144" s="41"/>
      <c r="T144" s="41"/>
      <c r="U144" s="41"/>
      <c r="V144" s="171"/>
      <c r="W144" s="46" t="s">
        <v>439</v>
      </c>
      <c r="X144" s="32" t="s">
        <v>394</v>
      </c>
    </row>
    <row r="145" spans="1:24" ht="16" customHeight="1" x14ac:dyDescent="0.25">
      <c r="A145" s="147"/>
      <c r="B145" s="31" t="s">
        <v>500</v>
      </c>
      <c r="C145" s="27" t="s">
        <v>436</v>
      </c>
      <c r="D145" s="56">
        <v>4</v>
      </c>
      <c r="E145" s="57"/>
      <c r="F145" s="57"/>
      <c r="G145" s="191"/>
      <c r="H145" s="57"/>
      <c r="I145" s="57"/>
      <c r="J145" s="57"/>
      <c r="K145" s="57"/>
      <c r="L145" s="41"/>
      <c r="M145" s="41"/>
      <c r="N145" s="76"/>
      <c r="O145" s="76"/>
      <c r="P145" s="171"/>
      <c r="Q145" s="41"/>
      <c r="R145" s="171"/>
      <c r="S145" s="41"/>
      <c r="T145" s="41"/>
      <c r="U145" s="41"/>
      <c r="V145" s="171"/>
      <c r="W145" s="46" t="s">
        <v>441</v>
      </c>
      <c r="X145" s="32" t="s">
        <v>396</v>
      </c>
    </row>
    <row r="146" spans="1:24" ht="16" customHeight="1" x14ac:dyDescent="0.25">
      <c r="A146" s="147"/>
      <c r="B146" s="37" t="s">
        <v>501</v>
      </c>
      <c r="C146" s="27" t="s">
        <v>436</v>
      </c>
      <c r="D146" s="59">
        <v>2</v>
      </c>
      <c r="E146" s="60"/>
      <c r="F146" s="60"/>
      <c r="G146" s="192"/>
      <c r="H146" s="60"/>
      <c r="I146" s="60"/>
      <c r="J146" s="60"/>
      <c r="K146" s="60"/>
      <c r="L146" s="41"/>
      <c r="M146" s="41"/>
      <c r="N146" s="76"/>
      <c r="O146" s="76"/>
      <c r="P146" s="171"/>
      <c r="Q146" s="41"/>
      <c r="R146" s="171"/>
      <c r="S146" s="41"/>
      <c r="T146" s="41"/>
      <c r="U146" s="41"/>
      <c r="V146" s="171"/>
      <c r="W146" s="46" t="s">
        <v>439</v>
      </c>
      <c r="X146" s="32" t="s">
        <v>409</v>
      </c>
    </row>
    <row r="147" spans="1:24" ht="16" customHeight="1" x14ac:dyDescent="0.25">
      <c r="A147" s="147"/>
      <c r="B147" s="37" t="s">
        <v>502</v>
      </c>
      <c r="C147" s="27" t="s">
        <v>436</v>
      </c>
      <c r="D147" s="35">
        <v>4</v>
      </c>
      <c r="E147" s="36"/>
      <c r="F147" s="36"/>
      <c r="G147" s="188"/>
      <c r="H147" s="36"/>
      <c r="I147" s="36"/>
      <c r="J147" s="36"/>
      <c r="K147" s="36"/>
      <c r="L147" s="41"/>
      <c r="M147" s="41"/>
      <c r="N147" s="76"/>
      <c r="O147" s="76"/>
      <c r="P147" s="171"/>
      <c r="Q147" s="41"/>
      <c r="R147" s="171"/>
      <c r="S147" s="41"/>
      <c r="T147" s="41"/>
      <c r="U147" s="41"/>
      <c r="V147" s="171"/>
      <c r="W147" s="46" t="s">
        <v>441</v>
      </c>
      <c r="X147" s="32" t="s">
        <v>399</v>
      </c>
    </row>
    <row r="148" spans="1:24" ht="16" customHeight="1" x14ac:dyDescent="0.25">
      <c r="A148" s="147"/>
      <c r="B148" s="37" t="s">
        <v>503</v>
      </c>
      <c r="C148" s="27" t="s">
        <v>436</v>
      </c>
      <c r="D148" s="59">
        <v>2</v>
      </c>
      <c r="E148" s="60"/>
      <c r="F148" s="60"/>
      <c r="G148" s="192"/>
      <c r="H148" s="60"/>
      <c r="I148" s="60"/>
      <c r="J148" s="60"/>
      <c r="K148" s="60"/>
      <c r="L148" s="41"/>
      <c r="M148" s="41"/>
      <c r="N148" s="76"/>
      <c r="O148" s="76"/>
      <c r="P148" s="171"/>
      <c r="Q148" s="41"/>
      <c r="R148" s="171"/>
      <c r="S148" s="41"/>
      <c r="T148" s="41"/>
      <c r="U148" s="41"/>
      <c r="V148" s="171"/>
      <c r="W148" s="46" t="s">
        <v>439</v>
      </c>
      <c r="X148" s="32" t="s">
        <v>383</v>
      </c>
    </row>
    <row r="149" spans="1:24" ht="16" customHeight="1" x14ac:dyDescent="0.25">
      <c r="A149" s="147"/>
      <c r="B149" s="37" t="s">
        <v>504</v>
      </c>
      <c r="C149" s="27" t="s">
        <v>436</v>
      </c>
      <c r="D149" s="59">
        <v>2</v>
      </c>
      <c r="E149" s="60"/>
      <c r="F149" s="60"/>
      <c r="G149" s="192"/>
      <c r="H149" s="60"/>
      <c r="I149" s="60"/>
      <c r="J149" s="60"/>
      <c r="K149" s="60"/>
      <c r="L149" s="41"/>
      <c r="M149" s="41"/>
      <c r="N149" s="76"/>
      <c r="O149" s="76"/>
      <c r="P149" s="171"/>
      <c r="Q149" s="41"/>
      <c r="R149" s="171"/>
      <c r="S149" s="41"/>
      <c r="T149" s="41"/>
      <c r="U149" s="41"/>
      <c r="V149" s="171"/>
      <c r="W149" s="46" t="s">
        <v>439</v>
      </c>
      <c r="X149" s="32" t="s">
        <v>385</v>
      </c>
    </row>
    <row r="150" spans="1:24" ht="16" customHeight="1" x14ac:dyDescent="0.25">
      <c r="A150" s="147"/>
      <c r="B150" s="37" t="s">
        <v>505</v>
      </c>
      <c r="C150" s="27" t="s">
        <v>436</v>
      </c>
      <c r="D150" s="59">
        <v>2</v>
      </c>
      <c r="E150" s="60"/>
      <c r="F150" s="60"/>
      <c r="G150" s="192"/>
      <c r="H150" s="60"/>
      <c r="I150" s="60"/>
      <c r="J150" s="60"/>
      <c r="K150" s="60"/>
      <c r="L150" s="41"/>
      <c r="M150" s="41"/>
      <c r="N150" s="76"/>
      <c r="O150" s="76"/>
      <c r="P150" s="171"/>
      <c r="Q150" s="41"/>
      <c r="R150" s="171"/>
      <c r="S150" s="41"/>
      <c r="T150" s="41"/>
      <c r="U150" s="41"/>
      <c r="V150" s="171"/>
      <c r="W150" s="46" t="s">
        <v>439</v>
      </c>
      <c r="X150" s="32" t="s">
        <v>384</v>
      </c>
    </row>
    <row r="151" spans="1:24" ht="16" customHeight="1" x14ac:dyDescent="0.25">
      <c r="A151" s="147"/>
      <c r="B151" s="37" t="s">
        <v>496</v>
      </c>
      <c r="C151" s="27" t="s">
        <v>445</v>
      </c>
      <c r="D151" s="59">
        <v>1</v>
      </c>
      <c r="E151" s="60"/>
      <c r="F151" s="60"/>
      <c r="G151" s="192"/>
      <c r="H151" s="60"/>
      <c r="I151" s="60"/>
      <c r="J151" s="60"/>
      <c r="K151" s="60"/>
      <c r="L151" s="41"/>
      <c r="M151" s="41"/>
      <c r="N151" s="76"/>
      <c r="O151" s="76"/>
      <c r="P151" s="172"/>
      <c r="Q151" s="41"/>
      <c r="R151" s="172"/>
      <c r="S151" s="41"/>
      <c r="T151" s="41"/>
      <c r="U151" s="41"/>
      <c r="V151" s="171"/>
      <c r="W151" s="46" t="s">
        <v>439</v>
      </c>
      <c r="X151" s="32" t="s">
        <v>399</v>
      </c>
    </row>
    <row r="152" spans="1:24" ht="16" customHeight="1" x14ac:dyDescent="0.25">
      <c r="A152" s="146" t="s">
        <v>508</v>
      </c>
      <c r="B152" s="63" t="s">
        <v>495</v>
      </c>
      <c r="C152" s="27" t="s">
        <v>436</v>
      </c>
      <c r="D152" s="59">
        <v>4</v>
      </c>
      <c r="E152" s="60"/>
      <c r="F152" s="60"/>
      <c r="G152" s="192"/>
      <c r="H152" s="61"/>
      <c r="I152" s="60"/>
      <c r="J152" s="60"/>
      <c r="K152" s="164" t="s">
        <v>497</v>
      </c>
      <c r="L152" s="76"/>
      <c r="M152" s="41"/>
      <c r="N152" s="170" t="s">
        <v>509</v>
      </c>
      <c r="O152" s="41"/>
      <c r="P152" s="41"/>
      <c r="Q152" s="41"/>
      <c r="R152" s="41"/>
      <c r="S152" s="41"/>
      <c r="T152" s="41"/>
      <c r="U152" s="41"/>
      <c r="V152" s="173" t="s">
        <v>441</v>
      </c>
      <c r="W152" s="46" t="s">
        <v>441</v>
      </c>
      <c r="X152" s="32" t="s">
        <v>387</v>
      </c>
    </row>
    <row r="153" spans="1:24" ht="16" customHeight="1" x14ac:dyDescent="0.25">
      <c r="A153" s="147"/>
      <c r="B153" s="63" t="s">
        <v>498</v>
      </c>
      <c r="C153" s="27" t="s">
        <v>436</v>
      </c>
      <c r="D153" s="59">
        <v>4</v>
      </c>
      <c r="E153" s="60"/>
      <c r="F153" s="60"/>
      <c r="G153" s="192"/>
      <c r="H153" s="61"/>
      <c r="I153" s="60"/>
      <c r="J153" s="60"/>
      <c r="K153" s="165"/>
      <c r="L153" s="76"/>
      <c r="M153" s="41"/>
      <c r="N153" s="171"/>
      <c r="O153" s="41"/>
      <c r="P153" s="41"/>
      <c r="Q153" s="41"/>
      <c r="R153" s="41"/>
      <c r="S153" s="41"/>
      <c r="T153" s="41"/>
      <c r="U153" s="41"/>
      <c r="V153" s="173"/>
      <c r="W153" s="46" t="s">
        <v>441</v>
      </c>
      <c r="X153" s="32" t="s">
        <v>393</v>
      </c>
    </row>
    <row r="154" spans="1:24" ht="16" customHeight="1" x14ac:dyDescent="0.25">
      <c r="A154" s="147"/>
      <c r="B154" s="64" t="s">
        <v>499</v>
      </c>
      <c r="C154" s="27" t="s">
        <v>436</v>
      </c>
      <c r="D154" s="65">
        <v>4</v>
      </c>
      <c r="E154" s="66"/>
      <c r="F154" s="66"/>
      <c r="G154" s="193"/>
      <c r="H154" s="61"/>
      <c r="I154" s="66"/>
      <c r="J154" s="66"/>
      <c r="K154" s="165"/>
      <c r="L154" s="76"/>
      <c r="M154" s="41"/>
      <c r="N154" s="171"/>
      <c r="O154" s="41"/>
      <c r="P154" s="41"/>
      <c r="Q154" s="41"/>
      <c r="R154" s="41"/>
      <c r="S154" s="41"/>
      <c r="T154" s="41"/>
      <c r="U154" s="41"/>
      <c r="V154" s="173"/>
      <c r="W154" s="46" t="s">
        <v>439</v>
      </c>
      <c r="X154" s="32" t="s">
        <v>403</v>
      </c>
    </row>
    <row r="155" spans="1:24" ht="16" customHeight="1" x14ac:dyDescent="0.25">
      <c r="A155" s="147"/>
      <c r="B155" s="63" t="s">
        <v>500</v>
      </c>
      <c r="C155" s="27" t="s">
        <v>436</v>
      </c>
      <c r="D155" s="59">
        <v>4</v>
      </c>
      <c r="E155" s="60"/>
      <c r="F155" s="60"/>
      <c r="G155" s="192"/>
      <c r="H155" s="61"/>
      <c r="I155" s="60"/>
      <c r="J155" s="60"/>
      <c r="K155" s="165"/>
      <c r="L155" s="76"/>
      <c r="M155" s="41"/>
      <c r="N155" s="171"/>
      <c r="O155" s="41"/>
      <c r="P155" s="41"/>
      <c r="Q155" s="41"/>
      <c r="R155" s="41"/>
      <c r="S155" s="41"/>
      <c r="T155" s="41"/>
      <c r="U155" s="41"/>
      <c r="V155" s="173"/>
      <c r="W155" s="46" t="s">
        <v>441</v>
      </c>
      <c r="X155" s="32" t="s">
        <v>391</v>
      </c>
    </row>
    <row r="156" spans="1:24" ht="16" customHeight="1" x14ac:dyDescent="0.25">
      <c r="A156" s="147"/>
      <c r="B156" s="63" t="s">
        <v>501</v>
      </c>
      <c r="C156" s="27" t="s">
        <v>436</v>
      </c>
      <c r="D156" s="59">
        <v>2</v>
      </c>
      <c r="E156" s="60"/>
      <c r="F156" s="60"/>
      <c r="G156" s="192"/>
      <c r="H156" s="61"/>
      <c r="I156" s="60"/>
      <c r="J156" s="60"/>
      <c r="K156" s="165"/>
      <c r="L156" s="76"/>
      <c r="M156" s="41"/>
      <c r="N156" s="171"/>
      <c r="O156" s="41"/>
      <c r="P156" s="41"/>
      <c r="Q156" s="41"/>
      <c r="R156" s="41"/>
      <c r="S156" s="41"/>
      <c r="T156" s="41"/>
      <c r="U156" s="41"/>
      <c r="V156" s="173"/>
      <c r="W156" s="46" t="s">
        <v>439</v>
      </c>
      <c r="X156" s="32" t="s">
        <v>381</v>
      </c>
    </row>
    <row r="157" spans="1:24" ht="16" customHeight="1" x14ac:dyDescent="0.25">
      <c r="A157" s="147"/>
      <c r="B157" s="67" t="s">
        <v>510</v>
      </c>
      <c r="C157" s="27" t="s">
        <v>436</v>
      </c>
      <c r="D157" s="65">
        <v>4</v>
      </c>
      <c r="E157" s="66"/>
      <c r="F157" s="66"/>
      <c r="G157" s="193"/>
      <c r="H157" s="61"/>
      <c r="I157" s="66"/>
      <c r="J157" s="66"/>
      <c r="K157" s="165"/>
      <c r="L157" s="76"/>
      <c r="M157" s="41"/>
      <c r="N157" s="171"/>
      <c r="O157" s="41"/>
      <c r="P157" s="41"/>
      <c r="Q157" s="41"/>
      <c r="R157" s="41"/>
      <c r="S157" s="41"/>
      <c r="T157" s="41"/>
      <c r="U157" s="41"/>
      <c r="V157" s="173"/>
      <c r="W157" s="46" t="s">
        <v>439</v>
      </c>
      <c r="X157" s="32" t="s">
        <v>407</v>
      </c>
    </row>
    <row r="158" spans="1:24" ht="16" customHeight="1" x14ac:dyDescent="0.25">
      <c r="A158" s="147"/>
      <c r="B158" s="67" t="s">
        <v>511</v>
      </c>
      <c r="C158" s="27" t="s">
        <v>436</v>
      </c>
      <c r="D158" s="65">
        <v>4</v>
      </c>
      <c r="E158" s="66"/>
      <c r="F158" s="66"/>
      <c r="G158" s="193"/>
      <c r="H158" s="61"/>
      <c r="I158" s="66"/>
      <c r="J158" s="66"/>
      <c r="K158" s="165"/>
      <c r="L158" s="76"/>
      <c r="M158" s="41"/>
      <c r="N158" s="171"/>
      <c r="O158" s="41"/>
      <c r="P158" s="41"/>
      <c r="Q158" s="41"/>
      <c r="R158" s="41"/>
      <c r="S158" s="41"/>
      <c r="T158" s="41"/>
      <c r="U158" s="41"/>
      <c r="V158" s="173"/>
      <c r="W158" s="78" t="s">
        <v>439</v>
      </c>
      <c r="X158" s="32" t="s">
        <v>398</v>
      </c>
    </row>
    <row r="159" spans="1:24" ht="16" customHeight="1" x14ac:dyDescent="0.25">
      <c r="A159" s="147"/>
      <c r="B159" s="68" t="s">
        <v>509</v>
      </c>
      <c r="C159" s="27" t="s">
        <v>445</v>
      </c>
      <c r="D159" s="59">
        <v>1</v>
      </c>
      <c r="E159" s="60"/>
      <c r="F159" s="60"/>
      <c r="G159" s="192"/>
      <c r="H159" s="61"/>
      <c r="I159" s="60"/>
      <c r="J159" s="60"/>
      <c r="K159" s="166"/>
      <c r="L159" s="77"/>
      <c r="M159" s="41"/>
      <c r="N159" s="172"/>
      <c r="O159" s="41"/>
      <c r="P159" s="41"/>
      <c r="Q159" s="41"/>
      <c r="R159" s="41"/>
      <c r="S159" s="41"/>
      <c r="T159" s="41"/>
      <c r="U159" s="41"/>
      <c r="V159" s="173"/>
      <c r="W159" s="78" t="s">
        <v>439</v>
      </c>
      <c r="X159" s="32" t="s">
        <v>398</v>
      </c>
    </row>
    <row r="160" spans="1:24" ht="16" customHeight="1" x14ac:dyDescent="0.25">
      <c r="A160" s="146" t="s">
        <v>512</v>
      </c>
      <c r="B160" s="63" t="s">
        <v>495</v>
      </c>
      <c r="C160" s="27" t="s">
        <v>436</v>
      </c>
      <c r="D160" s="59">
        <v>4</v>
      </c>
      <c r="E160" s="60"/>
      <c r="F160" s="60"/>
      <c r="G160" s="194"/>
      <c r="H160" s="60"/>
      <c r="I160" s="60"/>
      <c r="J160" s="164" t="s">
        <v>497</v>
      </c>
      <c r="K160" s="60"/>
      <c r="L160" s="76"/>
      <c r="M160" s="41"/>
      <c r="N160" s="41"/>
      <c r="O160" s="41"/>
      <c r="P160" s="41"/>
      <c r="Q160" s="170" t="s">
        <v>509</v>
      </c>
      <c r="R160" s="41"/>
      <c r="S160" s="41"/>
      <c r="T160" s="41"/>
      <c r="U160" s="41"/>
      <c r="V160" s="173" t="s">
        <v>441</v>
      </c>
      <c r="W160" s="46" t="s">
        <v>441</v>
      </c>
      <c r="X160" s="32" t="s">
        <v>387</v>
      </c>
    </row>
    <row r="161" spans="1:24" ht="16" customHeight="1" x14ac:dyDescent="0.25">
      <c r="A161" s="147"/>
      <c r="B161" s="63" t="s">
        <v>498</v>
      </c>
      <c r="C161" s="27" t="s">
        <v>436</v>
      </c>
      <c r="D161" s="59">
        <v>4</v>
      </c>
      <c r="E161" s="60"/>
      <c r="F161" s="60"/>
      <c r="G161" s="194"/>
      <c r="H161" s="60"/>
      <c r="I161" s="60"/>
      <c r="J161" s="165"/>
      <c r="K161" s="60"/>
      <c r="L161" s="76"/>
      <c r="M161" s="41"/>
      <c r="N161" s="41"/>
      <c r="O161" s="41"/>
      <c r="P161" s="41"/>
      <c r="Q161" s="171"/>
      <c r="R161" s="41"/>
      <c r="S161" s="41"/>
      <c r="T161" s="41"/>
      <c r="U161" s="41"/>
      <c r="V161" s="173"/>
      <c r="W161" s="46" t="s">
        <v>441</v>
      </c>
      <c r="X161" s="32" t="s">
        <v>393</v>
      </c>
    </row>
    <row r="162" spans="1:24" ht="16" customHeight="1" x14ac:dyDescent="0.25">
      <c r="A162" s="147"/>
      <c r="B162" s="64" t="s">
        <v>499</v>
      </c>
      <c r="C162" s="27" t="s">
        <v>436</v>
      </c>
      <c r="D162" s="65">
        <v>4</v>
      </c>
      <c r="E162" s="66"/>
      <c r="F162" s="66"/>
      <c r="G162" s="194"/>
      <c r="H162" s="66"/>
      <c r="I162" s="66"/>
      <c r="J162" s="165"/>
      <c r="K162" s="66"/>
      <c r="L162" s="76"/>
      <c r="M162" s="41"/>
      <c r="N162" s="41"/>
      <c r="O162" s="41"/>
      <c r="P162" s="41"/>
      <c r="Q162" s="171"/>
      <c r="R162" s="41"/>
      <c r="S162" s="41"/>
      <c r="T162" s="41"/>
      <c r="U162" s="41"/>
      <c r="V162" s="173"/>
      <c r="W162" s="46" t="s">
        <v>439</v>
      </c>
      <c r="X162" s="32" t="s">
        <v>403</v>
      </c>
    </row>
    <row r="163" spans="1:24" ht="16" customHeight="1" x14ac:dyDescent="0.25">
      <c r="A163" s="147"/>
      <c r="B163" s="63" t="s">
        <v>500</v>
      </c>
      <c r="C163" s="27" t="s">
        <v>436</v>
      </c>
      <c r="D163" s="59">
        <v>4</v>
      </c>
      <c r="E163" s="60"/>
      <c r="F163" s="60"/>
      <c r="G163" s="194"/>
      <c r="H163" s="60"/>
      <c r="I163" s="60"/>
      <c r="J163" s="165"/>
      <c r="K163" s="60"/>
      <c r="L163" s="76"/>
      <c r="M163" s="41"/>
      <c r="N163" s="41"/>
      <c r="O163" s="41"/>
      <c r="P163" s="41"/>
      <c r="Q163" s="171"/>
      <c r="R163" s="41"/>
      <c r="S163" s="41"/>
      <c r="T163" s="41"/>
      <c r="U163" s="41"/>
      <c r="V163" s="173"/>
      <c r="W163" s="46" t="s">
        <v>441</v>
      </c>
      <c r="X163" s="32" t="s">
        <v>391</v>
      </c>
    </row>
    <row r="164" spans="1:24" ht="16" customHeight="1" x14ac:dyDescent="0.25">
      <c r="A164" s="147"/>
      <c r="B164" s="63" t="s">
        <v>501</v>
      </c>
      <c r="C164" s="27" t="s">
        <v>436</v>
      </c>
      <c r="D164" s="59">
        <v>2</v>
      </c>
      <c r="E164" s="60"/>
      <c r="F164" s="60"/>
      <c r="G164" s="194"/>
      <c r="H164" s="60"/>
      <c r="I164" s="60"/>
      <c r="J164" s="165"/>
      <c r="K164" s="60"/>
      <c r="L164" s="76"/>
      <c r="M164" s="41"/>
      <c r="N164" s="41"/>
      <c r="O164" s="41"/>
      <c r="P164" s="41"/>
      <c r="Q164" s="171"/>
      <c r="R164" s="41"/>
      <c r="S164" s="41"/>
      <c r="T164" s="41"/>
      <c r="U164" s="41"/>
      <c r="V164" s="173"/>
      <c r="W164" s="46" t="s">
        <v>439</v>
      </c>
      <c r="X164" s="32" t="s">
        <v>381</v>
      </c>
    </row>
    <row r="165" spans="1:24" ht="16" customHeight="1" x14ac:dyDescent="0.25">
      <c r="A165" s="147"/>
      <c r="B165" s="67" t="s">
        <v>510</v>
      </c>
      <c r="C165" s="27" t="s">
        <v>436</v>
      </c>
      <c r="D165" s="65">
        <v>4</v>
      </c>
      <c r="E165" s="66"/>
      <c r="F165" s="66"/>
      <c r="G165" s="194"/>
      <c r="H165" s="66"/>
      <c r="I165" s="66"/>
      <c r="J165" s="165"/>
      <c r="K165" s="66"/>
      <c r="L165" s="76"/>
      <c r="M165" s="41"/>
      <c r="N165" s="41"/>
      <c r="O165" s="41"/>
      <c r="P165" s="41"/>
      <c r="Q165" s="171"/>
      <c r="R165" s="41"/>
      <c r="S165" s="41"/>
      <c r="T165" s="41"/>
      <c r="U165" s="41"/>
      <c r="V165" s="173"/>
      <c r="W165" s="46" t="s">
        <v>439</v>
      </c>
      <c r="X165" s="32" t="s">
        <v>407</v>
      </c>
    </row>
    <row r="166" spans="1:24" ht="16" customHeight="1" x14ac:dyDescent="0.25">
      <c r="A166" s="147"/>
      <c r="B166" s="67" t="s">
        <v>511</v>
      </c>
      <c r="C166" s="27" t="s">
        <v>436</v>
      </c>
      <c r="D166" s="65">
        <v>4</v>
      </c>
      <c r="E166" s="66"/>
      <c r="F166" s="66"/>
      <c r="G166" s="194"/>
      <c r="H166" s="66"/>
      <c r="I166" s="66"/>
      <c r="J166" s="165"/>
      <c r="K166" s="66"/>
      <c r="L166" s="76"/>
      <c r="M166" s="41"/>
      <c r="N166" s="41"/>
      <c r="O166" s="41"/>
      <c r="P166" s="41"/>
      <c r="Q166" s="171"/>
      <c r="R166" s="41"/>
      <c r="S166" s="41"/>
      <c r="T166" s="41"/>
      <c r="U166" s="41"/>
      <c r="V166" s="173"/>
      <c r="W166" s="79" t="s">
        <v>439</v>
      </c>
      <c r="X166" s="32" t="s">
        <v>398</v>
      </c>
    </row>
    <row r="167" spans="1:24" ht="16" customHeight="1" x14ac:dyDescent="0.25">
      <c r="A167" s="147"/>
      <c r="B167" s="68" t="s">
        <v>509</v>
      </c>
      <c r="C167" s="27" t="s">
        <v>445</v>
      </c>
      <c r="D167" s="59">
        <v>1</v>
      </c>
      <c r="E167" s="60"/>
      <c r="F167" s="60"/>
      <c r="G167" s="194"/>
      <c r="H167" s="60"/>
      <c r="I167" s="60"/>
      <c r="J167" s="166"/>
      <c r="K167" s="60"/>
      <c r="L167" s="76"/>
      <c r="M167" s="41"/>
      <c r="N167" s="41"/>
      <c r="O167" s="41"/>
      <c r="P167" s="41"/>
      <c r="Q167" s="172"/>
      <c r="R167" s="41"/>
      <c r="S167" s="41"/>
      <c r="T167" s="41"/>
      <c r="U167" s="41"/>
      <c r="V167" s="173"/>
      <c r="W167" s="79" t="s">
        <v>439</v>
      </c>
      <c r="X167" s="32" t="s">
        <v>398</v>
      </c>
    </row>
    <row r="168" spans="1:24" ht="16" customHeight="1" x14ac:dyDescent="0.25">
      <c r="A168" s="146" t="s">
        <v>285</v>
      </c>
      <c r="B168" s="63" t="s">
        <v>495</v>
      </c>
      <c r="C168" s="27" t="s">
        <v>436</v>
      </c>
      <c r="D168" s="59">
        <v>4</v>
      </c>
      <c r="E168" s="60"/>
      <c r="F168" s="60"/>
      <c r="G168" s="192"/>
      <c r="H168" s="60"/>
      <c r="I168" s="60"/>
      <c r="J168" s="60"/>
      <c r="K168" s="60"/>
      <c r="L168" s="41"/>
      <c r="M168" s="41"/>
      <c r="N168" s="41"/>
      <c r="O168" s="170" t="s">
        <v>513</v>
      </c>
      <c r="P168" s="170" t="s">
        <v>497</v>
      </c>
      <c r="Q168" s="170" t="s">
        <v>514</v>
      </c>
      <c r="R168" s="41"/>
      <c r="S168" s="41"/>
      <c r="T168" s="41"/>
      <c r="U168" s="41"/>
      <c r="V168" s="170" t="s">
        <v>441</v>
      </c>
      <c r="W168" s="46" t="s">
        <v>441</v>
      </c>
      <c r="X168" s="32" t="s">
        <v>388</v>
      </c>
    </row>
    <row r="169" spans="1:24" ht="16" customHeight="1" x14ac:dyDescent="0.25">
      <c r="A169" s="147"/>
      <c r="B169" s="63" t="s">
        <v>498</v>
      </c>
      <c r="C169" s="27" t="s">
        <v>436</v>
      </c>
      <c r="D169" s="59">
        <v>6</v>
      </c>
      <c r="E169" s="60"/>
      <c r="F169" s="60"/>
      <c r="G169" s="192"/>
      <c r="H169" s="60"/>
      <c r="I169" s="60"/>
      <c r="J169" s="60"/>
      <c r="K169" s="60"/>
      <c r="L169" s="41"/>
      <c r="M169" s="41"/>
      <c r="N169" s="41"/>
      <c r="O169" s="171"/>
      <c r="P169" s="171"/>
      <c r="Q169" s="171"/>
      <c r="R169" s="41"/>
      <c r="S169" s="41"/>
      <c r="T169" s="41"/>
      <c r="U169" s="41"/>
      <c r="V169" s="171"/>
      <c r="W169" s="46" t="s">
        <v>441</v>
      </c>
      <c r="X169" s="32" t="s">
        <v>389</v>
      </c>
    </row>
    <row r="170" spans="1:24" ht="16" customHeight="1" x14ac:dyDescent="0.25">
      <c r="A170" s="147"/>
      <c r="B170" s="64" t="s">
        <v>499</v>
      </c>
      <c r="C170" s="27" t="s">
        <v>436</v>
      </c>
      <c r="D170" s="65">
        <v>4</v>
      </c>
      <c r="E170" s="66"/>
      <c r="F170" s="66"/>
      <c r="G170" s="193"/>
      <c r="H170" s="66"/>
      <c r="I170" s="66"/>
      <c r="J170" s="66"/>
      <c r="K170" s="66"/>
      <c r="L170" s="41"/>
      <c r="M170" s="41"/>
      <c r="N170" s="41"/>
      <c r="O170" s="171"/>
      <c r="P170" s="171"/>
      <c r="Q170" s="171"/>
      <c r="R170" s="41"/>
      <c r="S170" s="41"/>
      <c r="T170" s="41"/>
      <c r="U170" s="41"/>
      <c r="V170" s="171"/>
      <c r="W170" s="80" t="s">
        <v>439</v>
      </c>
      <c r="X170" s="32" t="s">
        <v>403</v>
      </c>
    </row>
    <row r="171" spans="1:24" ht="16" customHeight="1" x14ac:dyDescent="0.25">
      <c r="A171" s="147"/>
      <c r="B171" s="63" t="s">
        <v>500</v>
      </c>
      <c r="C171" s="27" t="s">
        <v>436</v>
      </c>
      <c r="D171" s="59">
        <v>4</v>
      </c>
      <c r="E171" s="60"/>
      <c r="F171" s="60"/>
      <c r="G171" s="192"/>
      <c r="H171" s="60"/>
      <c r="I171" s="60"/>
      <c r="J171" s="60"/>
      <c r="K171" s="60"/>
      <c r="L171" s="41"/>
      <c r="M171" s="41"/>
      <c r="N171" s="41"/>
      <c r="O171" s="171"/>
      <c r="P171" s="171"/>
      <c r="Q171" s="171"/>
      <c r="R171" s="41"/>
      <c r="S171" s="41"/>
      <c r="T171" s="41"/>
      <c r="U171" s="41"/>
      <c r="V171" s="171"/>
      <c r="W171" s="46" t="s">
        <v>441</v>
      </c>
      <c r="X171" s="32" t="s">
        <v>396</v>
      </c>
    </row>
    <row r="172" spans="1:24" ht="16" customHeight="1" x14ac:dyDescent="0.25">
      <c r="A172" s="147"/>
      <c r="B172" s="63" t="s">
        <v>501</v>
      </c>
      <c r="C172" s="27" t="s">
        <v>436</v>
      </c>
      <c r="D172" s="59">
        <v>2</v>
      </c>
      <c r="E172" s="60"/>
      <c r="F172" s="60"/>
      <c r="G172" s="192"/>
      <c r="H172" s="60"/>
      <c r="I172" s="60"/>
      <c r="J172" s="60"/>
      <c r="K172" s="60"/>
      <c r="L172" s="41"/>
      <c r="M172" s="41"/>
      <c r="N172" s="41"/>
      <c r="O172" s="171"/>
      <c r="P172" s="171"/>
      <c r="Q172" s="171"/>
      <c r="R172" s="41"/>
      <c r="S172" s="41"/>
      <c r="T172" s="41"/>
      <c r="U172" s="41"/>
      <c r="V172" s="171"/>
      <c r="W172" s="80" t="s">
        <v>439</v>
      </c>
      <c r="X172" s="32" t="s">
        <v>409</v>
      </c>
    </row>
    <row r="173" spans="1:24" ht="16" customHeight="1" x14ac:dyDescent="0.25">
      <c r="A173" s="147"/>
      <c r="B173" s="69" t="s">
        <v>515</v>
      </c>
      <c r="C173" s="27" t="s">
        <v>436</v>
      </c>
      <c r="D173" s="35">
        <v>2</v>
      </c>
      <c r="E173" s="36"/>
      <c r="F173" s="36"/>
      <c r="G173" s="188"/>
      <c r="H173" s="36"/>
      <c r="I173" s="36"/>
      <c r="J173" s="36"/>
      <c r="K173" s="36"/>
      <c r="L173" s="41"/>
      <c r="M173" s="41"/>
      <c r="N173" s="41"/>
      <c r="O173" s="171"/>
      <c r="P173" s="171"/>
      <c r="Q173" s="171"/>
      <c r="R173" s="41"/>
      <c r="S173" s="41"/>
      <c r="T173" s="41"/>
      <c r="U173" s="41"/>
      <c r="V173" s="171"/>
      <c r="W173" s="80" t="s">
        <v>439</v>
      </c>
      <c r="X173" s="32" t="s">
        <v>408</v>
      </c>
    </row>
    <row r="174" spans="1:24" ht="16" customHeight="1" x14ac:dyDescent="0.25">
      <c r="A174" s="147"/>
      <c r="B174" s="69" t="s">
        <v>516</v>
      </c>
      <c r="C174" s="27" t="s">
        <v>436</v>
      </c>
      <c r="D174" s="35">
        <v>4</v>
      </c>
      <c r="E174" s="36"/>
      <c r="F174" s="36"/>
      <c r="G174" s="188"/>
      <c r="H174" s="36"/>
      <c r="I174" s="36"/>
      <c r="J174" s="36"/>
      <c r="K174" s="36"/>
      <c r="L174" s="41"/>
      <c r="M174" s="41"/>
      <c r="N174" s="41"/>
      <c r="O174" s="171"/>
      <c r="P174" s="171"/>
      <c r="Q174" s="171"/>
      <c r="R174" s="41"/>
      <c r="S174" s="41"/>
      <c r="T174" s="41"/>
      <c r="U174" s="41"/>
      <c r="V174" s="171"/>
      <c r="W174" s="80" t="s">
        <v>439</v>
      </c>
      <c r="X174" s="32" t="s">
        <v>397</v>
      </c>
    </row>
    <row r="175" spans="1:24" ht="16" customHeight="1" x14ac:dyDescent="0.25">
      <c r="A175" s="147"/>
      <c r="B175" s="63" t="s">
        <v>513</v>
      </c>
      <c r="C175" s="27" t="s">
        <v>445</v>
      </c>
      <c r="D175" s="35">
        <v>1</v>
      </c>
      <c r="E175" s="36"/>
      <c r="F175" s="36"/>
      <c r="G175" s="188"/>
      <c r="H175" s="36"/>
      <c r="I175" s="36"/>
      <c r="J175" s="36"/>
      <c r="K175" s="36"/>
      <c r="L175" s="41"/>
      <c r="M175" s="41"/>
      <c r="N175" s="41"/>
      <c r="O175" s="171"/>
      <c r="P175" s="171"/>
      <c r="Q175" s="171"/>
      <c r="R175" s="41"/>
      <c r="S175" s="41"/>
      <c r="T175" s="41"/>
      <c r="U175" s="41"/>
      <c r="V175" s="171"/>
      <c r="W175" s="80" t="s">
        <v>439</v>
      </c>
      <c r="X175" s="32" t="s">
        <v>397</v>
      </c>
    </row>
    <row r="176" spans="1:24" ht="16" customHeight="1" x14ac:dyDescent="0.25">
      <c r="A176" s="147"/>
      <c r="B176" s="63" t="s">
        <v>514</v>
      </c>
      <c r="C176" s="27" t="s">
        <v>445</v>
      </c>
      <c r="D176" s="35">
        <v>1</v>
      </c>
      <c r="E176" s="36"/>
      <c r="F176" s="36"/>
      <c r="G176" s="188"/>
      <c r="H176" s="36"/>
      <c r="I176" s="36"/>
      <c r="J176" s="36"/>
      <c r="K176" s="36"/>
      <c r="L176" s="41"/>
      <c r="M176" s="41"/>
      <c r="N176" s="41"/>
      <c r="O176" s="172"/>
      <c r="P176" s="172"/>
      <c r="Q176" s="172"/>
      <c r="R176" s="41"/>
      <c r="S176" s="41"/>
      <c r="T176" s="41"/>
      <c r="U176" s="41"/>
      <c r="V176" s="172"/>
      <c r="W176" s="80" t="s">
        <v>439</v>
      </c>
      <c r="X176" s="32" t="s">
        <v>397</v>
      </c>
    </row>
    <row r="177" spans="1:24" ht="16" customHeight="1" x14ac:dyDescent="0.25">
      <c r="A177" s="146" t="s">
        <v>517</v>
      </c>
      <c r="B177" s="64" t="s">
        <v>495</v>
      </c>
      <c r="C177" s="27" t="s">
        <v>436</v>
      </c>
      <c r="D177" s="59">
        <v>4</v>
      </c>
      <c r="E177" s="60"/>
      <c r="F177" s="60"/>
      <c r="G177" s="192"/>
      <c r="H177" s="60"/>
      <c r="I177" s="60"/>
      <c r="J177" s="60"/>
      <c r="K177" s="60"/>
      <c r="L177" s="41"/>
      <c r="M177" s="41"/>
      <c r="N177" s="41"/>
      <c r="O177" s="170" t="s">
        <v>497</v>
      </c>
      <c r="P177" s="76"/>
      <c r="Q177" s="170" t="s">
        <v>518</v>
      </c>
      <c r="R177" s="76"/>
      <c r="S177" s="41"/>
      <c r="T177" s="41"/>
      <c r="U177" s="170" t="s">
        <v>519</v>
      </c>
      <c r="V177" s="170" t="s">
        <v>441</v>
      </c>
      <c r="W177" s="46" t="s">
        <v>441</v>
      </c>
      <c r="X177" s="32" t="s">
        <v>388</v>
      </c>
    </row>
    <row r="178" spans="1:24" ht="16" customHeight="1" x14ac:dyDescent="0.25">
      <c r="A178" s="147"/>
      <c r="B178" s="64" t="s">
        <v>498</v>
      </c>
      <c r="C178" s="27" t="s">
        <v>436</v>
      </c>
      <c r="D178" s="59">
        <v>4</v>
      </c>
      <c r="E178" s="60"/>
      <c r="F178" s="60"/>
      <c r="G178" s="192"/>
      <c r="H178" s="60"/>
      <c r="I178" s="60"/>
      <c r="J178" s="60"/>
      <c r="K178" s="60"/>
      <c r="L178" s="41"/>
      <c r="M178" s="41"/>
      <c r="N178" s="41"/>
      <c r="O178" s="171"/>
      <c r="P178" s="76"/>
      <c r="Q178" s="171"/>
      <c r="R178" s="76"/>
      <c r="S178" s="41"/>
      <c r="T178" s="41"/>
      <c r="U178" s="171"/>
      <c r="V178" s="171"/>
      <c r="W178" s="46" t="s">
        <v>441</v>
      </c>
      <c r="X178" s="32" t="s">
        <v>389</v>
      </c>
    </row>
    <row r="179" spans="1:24" ht="16" customHeight="1" x14ac:dyDescent="0.25">
      <c r="A179" s="147"/>
      <c r="B179" s="64" t="s">
        <v>499</v>
      </c>
      <c r="C179" s="27" t="s">
        <v>436</v>
      </c>
      <c r="D179" s="65">
        <v>4</v>
      </c>
      <c r="E179" s="66"/>
      <c r="F179" s="66"/>
      <c r="G179" s="193"/>
      <c r="H179" s="66"/>
      <c r="I179" s="66"/>
      <c r="J179" s="66"/>
      <c r="K179" s="66"/>
      <c r="L179" s="41"/>
      <c r="M179" s="41"/>
      <c r="N179" s="41"/>
      <c r="O179" s="171"/>
      <c r="P179" s="76"/>
      <c r="Q179" s="171"/>
      <c r="R179" s="76"/>
      <c r="S179" s="41"/>
      <c r="T179" s="41"/>
      <c r="U179" s="171"/>
      <c r="V179" s="171"/>
      <c r="W179" s="80" t="s">
        <v>439</v>
      </c>
      <c r="X179" s="32" t="s">
        <v>402</v>
      </c>
    </row>
    <row r="180" spans="1:24" ht="16" customHeight="1" x14ac:dyDescent="0.25">
      <c r="A180" s="147"/>
      <c r="B180" s="64" t="s">
        <v>500</v>
      </c>
      <c r="C180" s="27" t="s">
        <v>436</v>
      </c>
      <c r="D180" s="59">
        <v>4</v>
      </c>
      <c r="E180" s="60"/>
      <c r="F180" s="60"/>
      <c r="G180" s="192"/>
      <c r="H180" s="60"/>
      <c r="I180" s="60"/>
      <c r="J180" s="60"/>
      <c r="K180" s="60"/>
      <c r="L180" s="41"/>
      <c r="M180" s="41"/>
      <c r="N180" s="41"/>
      <c r="O180" s="171"/>
      <c r="P180" s="76"/>
      <c r="Q180" s="171"/>
      <c r="R180" s="76"/>
      <c r="S180" s="41"/>
      <c r="T180" s="41"/>
      <c r="U180" s="171"/>
      <c r="V180" s="171"/>
      <c r="W180" s="46" t="s">
        <v>441</v>
      </c>
      <c r="X180" s="32" t="s">
        <v>404</v>
      </c>
    </row>
    <row r="181" spans="1:24" ht="16" customHeight="1" x14ac:dyDescent="0.25">
      <c r="A181" s="147"/>
      <c r="B181" s="64" t="s">
        <v>501</v>
      </c>
      <c r="C181" s="27" t="s">
        <v>436</v>
      </c>
      <c r="D181" s="59">
        <v>2</v>
      </c>
      <c r="E181" s="60"/>
      <c r="F181" s="60"/>
      <c r="G181" s="192"/>
      <c r="H181" s="60"/>
      <c r="I181" s="60"/>
      <c r="J181" s="60"/>
      <c r="K181" s="60"/>
      <c r="L181" s="41"/>
      <c r="M181" s="41"/>
      <c r="N181" s="41"/>
      <c r="O181" s="171"/>
      <c r="P181" s="76"/>
      <c r="Q181" s="171"/>
      <c r="R181" s="76"/>
      <c r="S181" s="41"/>
      <c r="T181" s="41"/>
      <c r="U181" s="171"/>
      <c r="V181" s="171"/>
      <c r="W181" s="80" t="s">
        <v>439</v>
      </c>
      <c r="X181" s="32" t="s">
        <v>409</v>
      </c>
    </row>
    <row r="182" spans="1:24" ht="16" customHeight="1" x14ac:dyDescent="0.25">
      <c r="A182" s="147"/>
      <c r="B182" s="64" t="s">
        <v>520</v>
      </c>
      <c r="C182" s="27" t="s">
        <v>436</v>
      </c>
      <c r="D182" s="59">
        <v>4</v>
      </c>
      <c r="E182" s="60"/>
      <c r="F182" s="60"/>
      <c r="G182" s="192"/>
      <c r="H182" s="60"/>
      <c r="I182" s="60"/>
      <c r="J182" s="60"/>
      <c r="K182" s="60"/>
      <c r="L182" s="41"/>
      <c r="M182" s="41"/>
      <c r="N182" s="41"/>
      <c r="O182" s="171"/>
      <c r="P182" s="76"/>
      <c r="Q182" s="171"/>
      <c r="R182" s="76"/>
      <c r="S182" s="41"/>
      <c r="T182" s="41"/>
      <c r="U182" s="171"/>
      <c r="V182" s="171"/>
      <c r="W182" s="46" t="s">
        <v>441</v>
      </c>
      <c r="X182" s="32" t="s">
        <v>397</v>
      </c>
    </row>
    <row r="183" spans="1:24" ht="16" customHeight="1" x14ac:dyDescent="0.25">
      <c r="A183" s="147"/>
      <c r="B183" s="70" t="s">
        <v>502</v>
      </c>
      <c r="C183" s="27" t="s">
        <v>436</v>
      </c>
      <c r="D183" s="55">
        <v>4</v>
      </c>
      <c r="E183" s="18"/>
      <c r="F183" s="18"/>
      <c r="G183" s="190"/>
      <c r="H183" s="18"/>
      <c r="I183" s="18"/>
      <c r="J183" s="18"/>
      <c r="K183" s="18"/>
      <c r="L183" s="41"/>
      <c r="M183" s="41"/>
      <c r="N183" s="41"/>
      <c r="O183" s="171"/>
      <c r="P183" s="76"/>
      <c r="Q183" s="171"/>
      <c r="R183" s="76"/>
      <c r="S183" s="41"/>
      <c r="T183" s="41"/>
      <c r="U183" s="171"/>
      <c r="V183" s="171"/>
      <c r="W183" s="46" t="s">
        <v>441</v>
      </c>
      <c r="X183" s="32" t="s">
        <v>400</v>
      </c>
    </row>
    <row r="184" spans="1:24" ht="16" customHeight="1" x14ac:dyDescent="0.25">
      <c r="A184" s="147"/>
      <c r="B184" s="63" t="s">
        <v>518</v>
      </c>
      <c r="C184" s="27" t="s">
        <v>445</v>
      </c>
      <c r="D184" s="35">
        <v>1</v>
      </c>
      <c r="E184" s="36"/>
      <c r="F184" s="36"/>
      <c r="G184" s="188"/>
      <c r="H184" s="36"/>
      <c r="I184" s="36"/>
      <c r="J184" s="36"/>
      <c r="K184" s="36"/>
      <c r="L184" s="41"/>
      <c r="M184" s="41"/>
      <c r="N184" s="41"/>
      <c r="O184" s="171"/>
      <c r="P184" s="76"/>
      <c r="Q184" s="171"/>
      <c r="R184" s="76"/>
      <c r="S184" s="41"/>
      <c r="T184" s="41"/>
      <c r="U184" s="171"/>
      <c r="V184" s="171"/>
      <c r="W184" s="80" t="s">
        <v>439</v>
      </c>
      <c r="X184" s="32" t="s">
        <v>400</v>
      </c>
    </row>
    <row r="185" spans="1:24" ht="16" customHeight="1" x14ac:dyDescent="0.25">
      <c r="A185" s="147"/>
      <c r="B185" s="71" t="s">
        <v>519</v>
      </c>
      <c r="C185" s="27" t="s">
        <v>445</v>
      </c>
      <c r="D185" s="72">
        <v>1</v>
      </c>
      <c r="E185" s="73"/>
      <c r="F185" s="73"/>
      <c r="G185" s="195"/>
      <c r="H185" s="73"/>
      <c r="I185" s="73"/>
      <c r="J185" s="73"/>
      <c r="K185" s="73"/>
      <c r="L185" s="41"/>
      <c r="M185" s="41"/>
      <c r="N185" s="41"/>
      <c r="O185" s="172"/>
      <c r="P185" s="76"/>
      <c r="Q185" s="172"/>
      <c r="R185" s="76"/>
      <c r="S185" s="41"/>
      <c r="T185" s="41"/>
      <c r="U185" s="172"/>
      <c r="V185" s="172"/>
      <c r="W185" s="80" t="s">
        <v>439</v>
      </c>
      <c r="X185" s="32" t="s">
        <v>397</v>
      </c>
    </row>
    <row r="186" spans="1:24" ht="16" customHeight="1" x14ac:dyDescent="0.25">
      <c r="A186" s="146" t="s">
        <v>521</v>
      </c>
      <c r="B186" s="64" t="s">
        <v>495</v>
      </c>
      <c r="C186" s="27" t="s">
        <v>436</v>
      </c>
      <c r="D186" s="59">
        <v>4</v>
      </c>
      <c r="E186" s="60"/>
      <c r="F186" s="60"/>
      <c r="G186" s="196"/>
      <c r="H186" s="61"/>
      <c r="I186" s="60"/>
      <c r="J186" s="60"/>
      <c r="K186" s="60"/>
      <c r="L186" s="170" t="s">
        <v>497</v>
      </c>
      <c r="M186" s="41"/>
      <c r="N186" s="41"/>
      <c r="O186" s="76"/>
      <c r="P186" s="170" t="s">
        <v>518</v>
      </c>
      <c r="Q186" s="41"/>
      <c r="R186" s="173" t="s">
        <v>519</v>
      </c>
      <c r="S186" s="41"/>
      <c r="T186" s="41"/>
      <c r="U186" s="41"/>
      <c r="V186" s="170" t="s">
        <v>441</v>
      </c>
      <c r="W186" s="46" t="s">
        <v>441</v>
      </c>
      <c r="X186" s="32" t="s">
        <v>388</v>
      </c>
    </row>
    <row r="187" spans="1:24" ht="16" customHeight="1" x14ac:dyDescent="0.25">
      <c r="A187" s="147"/>
      <c r="B187" s="64" t="s">
        <v>498</v>
      </c>
      <c r="C187" s="27" t="s">
        <v>436</v>
      </c>
      <c r="D187" s="59">
        <v>4</v>
      </c>
      <c r="E187" s="60"/>
      <c r="F187" s="60"/>
      <c r="G187" s="196"/>
      <c r="H187" s="61"/>
      <c r="I187" s="60"/>
      <c r="J187" s="60"/>
      <c r="K187" s="60"/>
      <c r="L187" s="171"/>
      <c r="M187" s="41"/>
      <c r="N187" s="41"/>
      <c r="O187" s="76"/>
      <c r="P187" s="171"/>
      <c r="Q187" s="41"/>
      <c r="R187" s="173"/>
      <c r="S187" s="41"/>
      <c r="T187" s="41"/>
      <c r="U187" s="41"/>
      <c r="V187" s="171"/>
      <c r="W187" s="46" t="s">
        <v>441</v>
      </c>
      <c r="X187" s="32" t="s">
        <v>389</v>
      </c>
    </row>
    <row r="188" spans="1:24" ht="16" customHeight="1" x14ac:dyDescent="0.25">
      <c r="A188" s="147"/>
      <c r="B188" s="64" t="s">
        <v>499</v>
      </c>
      <c r="C188" s="27" t="s">
        <v>436</v>
      </c>
      <c r="D188" s="65">
        <v>4</v>
      </c>
      <c r="E188" s="66"/>
      <c r="F188" s="66"/>
      <c r="G188" s="197"/>
      <c r="H188" s="61"/>
      <c r="I188" s="66"/>
      <c r="J188" s="66"/>
      <c r="K188" s="66"/>
      <c r="L188" s="171"/>
      <c r="M188" s="41"/>
      <c r="N188" s="41"/>
      <c r="O188" s="76"/>
      <c r="P188" s="171"/>
      <c r="Q188" s="41"/>
      <c r="R188" s="173"/>
      <c r="S188" s="41"/>
      <c r="T188" s="41"/>
      <c r="U188" s="41"/>
      <c r="V188" s="171"/>
      <c r="W188" s="80" t="s">
        <v>439</v>
      </c>
      <c r="X188" s="32" t="s">
        <v>402</v>
      </c>
    </row>
    <row r="189" spans="1:24" ht="16" customHeight="1" x14ac:dyDescent="0.25">
      <c r="A189" s="147"/>
      <c r="B189" s="64" t="s">
        <v>500</v>
      </c>
      <c r="C189" s="27" t="s">
        <v>436</v>
      </c>
      <c r="D189" s="59">
        <v>4</v>
      </c>
      <c r="E189" s="60"/>
      <c r="F189" s="60"/>
      <c r="G189" s="196"/>
      <c r="H189" s="61"/>
      <c r="I189" s="60"/>
      <c r="J189" s="60"/>
      <c r="K189" s="60"/>
      <c r="L189" s="171"/>
      <c r="M189" s="41"/>
      <c r="N189" s="41"/>
      <c r="O189" s="76"/>
      <c r="P189" s="171"/>
      <c r="Q189" s="41"/>
      <c r="R189" s="173"/>
      <c r="S189" s="41"/>
      <c r="T189" s="41"/>
      <c r="U189" s="41"/>
      <c r="V189" s="171"/>
      <c r="W189" s="46" t="s">
        <v>441</v>
      </c>
      <c r="X189" s="32" t="s">
        <v>404</v>
      </c>
    </row>
    <row r="190" spans="1:24" ht="16" customHeight="1" x14ac:dyDescent="0.25">
      <c r="A190" s="147"/>
      <c r="B190" s="64" t="s">
        <v>501</v>
      </c>
      <c r="C190" s="27" t="s">
        <v>436</v>
      </c>
      <c r="D190" s="59">
        <v>2</v>
      </c>
      <c r="E190" s="60"/>
      <c r="F190" s="60"/>
      <c r="G190" s="196"/>
      <c r="H190" s="61"/>
      <c r="I190" s="60"/>
      <c r="J190" s="60"/>
      <c r="K190" s="60"/>
      <c r="L190" s="171"/>
      <c r="M190" s="41"/>
      <c r="N190" s="41"/>
      <c r="O190" s="76"/>
      <c r="P190" s="171"/>
      <c r="Q190" s="41"/>
      <c r="R190" s="173"/>
      <c r="S190" s="41"/>
      <c r="T190" s="41"/>
      <c r="U190" s="41"/>
      <c r="V190" s="171"/>
      <c r="W190" s="80" t="s">
        <v>439</v>
      </c>
      <c r="X190" s="32" t="s">
        <v>409</v>
      </c>
    </row>
    <row r="191" spans="1:24" ht="16" customHeight="1" x14ac:dyDescent="0.25">
      <c r="A191" s="147"/>
      <c r="B191" s="64" t="s">
        <v>520</v>
      </c>
      <c r="C191" s="27" t="s">
        <v>436</v>
      </c>
      <c r="D191" s="59">
        <v>4</v>
      </c>
      <c r="E191" s="60"/>
      <c r="F191" s="60"/>
      <c r="G191" s="196"/>
      <c r="H191" s="61"/>
      <c r="I191" s="60"/>
      <c r="J191" s="60"/>
      <c r="K191" s="60"/>
      <c r="L191" s="171"/>
      <c r="M191" s="41"/>
      <c r="N191" s="41"/>
      <c r="O191" s="76"/>
      <c r="P191" s="171"/>
      <c r="Q191" s="41"/>
      <c r="R191" s="173"/>
      <c r="S191" s="41"/>
      <c r="T191" s="41"/>
      <c r="U191" s="41"/>
      <c r="V191" s="171"/>
      <c r="W191" s="46" t="s">
        <v>441</v>
      </c>
      <c r="X191" s="32" t="s">
        <v>397</v>
      </c>
    </row>
    <row r="192" spans="1:24" ht="16" customHeight="1" x14ac:dyDescent="0.25">
      <c r="A192" s="147"/>
      <c r="B192" s="70" t="s">
        <v>502</v>
      </c>
      <c r="C192" s="27" t="s">
        <v>436</v>
      </c>
      <c r="D192" s="55">
        <v>4</v>
      </c>
      <c r="E192" s="18"/>
      <c r="F192" s="18"/>
      <c r="G192" s="198"/>
      <c r="H192" s="61"/>
      <c r="I192" s="18"/>
      <c r="J192" s="18"/>
      <c r="K192" s="18"/>
      <c r="L192" s="171"/>
      <c r="M192" s="41"/>
      <c r="N192" s="41"/>
      <c r="O192" s="76"/>
      <c r="P192" s="171"/>
      <c r="Q192" s="41"/>
      <c r="R192" s="173"/>
      <c r="S192" s="41"/>
      <c r="T192" s="41"/>
      <c r="U192" s="41"/>
      <c r="V192" s="171"/>
      <c r="W192" s="46" t="s">
        <v>441</v>
      </c>
      <c r="X192" s="32" t="s">
        <v>400</v>
      </c>
    </row>
    <row r="193" spans="1:24" ht="16" customHeight="1" x14ac:dyDescent="0.25">
      <c r="A193" s="147"/>
      <c r="B193" s="63" t="s">
        <v>518</v>
      </c>
      <c r="C193" s="27" t="s">
        <v>445</v>
      </c>
      <c r="D193" s="35">
        <v>1</v>
      </c>
      <c r="E193" s="36"/>
      <c r="F193" s="36"/>
      <c r="G193" s="199"/>
      <c r="H193" s="61"/>
      <c r="I193" s="36"/>
      <c r="J193" s="36"/>
      <c r="K193" s="36"/>
      <c r="L193" s="171"/>
      <c r="M193" s="41"/>
      <c r="N193" s="41"/>
      <c r="O193" s="76"/>
      <c r="P193" s="171"/>
      <c r="Q193" s="41"/>
      <c r="R193" s="173"/>
      <c r="S193" s="41"/>
      <c r="T193" s="41"/>
      <c r="U193" s="41"/>
      <c r="V193" s="171"/>
      <c r="W193" s="80" t="s">
        <v>439</v>
      </c>
      <c r="X193" s="32" t="s">
        <v>400</v>
      </c>
    </row>
    <row r="194" spans="1:24" ht="16" customHeight="1" x14ac:dyDescent="0.25">
      <c r="A194" s="147"/>
      <c r="B194" s="71" t="s">
        <v>519</v>
      </c>
      <c r="C194" s="27" t="s">
        <v>445</v>
      </c>
      <c r="D194" s="72">
        <v>1</v>
      </c>
      <c r="E194" s="73"/>
      <c r="F194" s="73"/>
      <c r="G194" s="200"/>
      <c r="H194" s="61"/>
      <c r="I194" s="73"/>
      <c r="J194" s="73"/>
      <c r="K194" s="73"/>
      <c r="L194" s="172"/>
      <c r="M194" s="41"/>
      <c r="N194" s="41"/>
      <c r="O194" s="76"/>
      <c r="P194" s="172"/>
      <c r="Q194" s="41"/>
      <c r="R194" s="173"/>
      <c r="S194" s="41"/>
      <c r="T194" s="41"/>
      <c r="U194" s="41"/>
      <c r="V194" s="172"/>
      <c r="W194" s="80" t="s">
        <v>439</v>
      </c>
      <c r="X194" s="32" t="s">
        <v>397</v>
      </c>
    </row>
    <row r="195" spans="1:24" ht="16" customHeight="1" x14ac:dyDescent="0.25">
      <c r="A195" s="146" t="s">
        <v>522</v>
      </c>
      <c r="B195" s="64" t="s">
        <v>495</v>
      </c>
      <c r="C195" s="27" t="s">
        <v>436</v>
      </c>
      <c r="D195" s="59">
        <v>4</v>
      </c>
      <c r="E195" s="60"/>
      <c r="F195" s="60"/>
      <c r="G195" s="192"/>
      <c r="H195" s="60"/>
      <c r="I195" s="60"/>
      <c r="J195" s="60"/>
      <c r="K195" s="60"/>
      <c r="L195" s="76"/>
      <c r="M195" s="41"/>
      <c r="N195" s="41"/>
      <c r="O195" s="41"/>
      <c r="P195" s="76"/>
      <c r="Q195" s="76"/>
      <c r="R195" s="170" t="s">
        <v>518</v>
      </c>
      <c r="S195" s="170" t="s">
        <v>497</v>
      </c>
      <c r="T195" s="170" t="s">
        <v>523</v>
      </c>
      <c r="U195" s="41"/>
      <c r="V195" s="170" t="s">
        <v>441</v>
      </c>
      <c r="W195" s="46" t="s">
        <v>441</v>
      </c>
      <c r="X195" s="32" t="s">
        <v>388</v>
      </c>
    </row>
    <row r="196" spans="1:24" ht="16" customHeight="1" x14ac:dyDescent="0.25">
      <c r="A196" s="147"/>
      <c r="B196" s="64" t="s">
        <v>498</v>
      </c>
      <c r="C196" s="27" t="s">
        <v>436</v>
      </c>
      <c r="D196" s="59">
        <v>4</v>
      </c>
      <c r="E196" s="60"/>
      <c r="F196" s="60"/>
      <c r="G196" s="192"/>
      <c r="H196" s="60"/>
      <c r="I196" s="60"/>
      <c r="J196" s="60"/>
      <c r="K196" s="60"/>
      <c r="L196" s="76"/>
      <c r="M196" s="41"/>
      <c r="N196" s="41"/>
      <c r="O196" s="41"/>
      <c r="P196" s="76"/>
      <c r="Q196" s="76"/>
      <c r="R196" s="171"/>
      <c r="S196" s="171"/>
      <c r="T196" s="171"/>
      <c r="U196" s="41"/>
      <c r="V196" s="171"/>
      <c r="W196" s="46" t="s">
        <v>441</v>
      </c>
      <c r="X196" s="32" t="s">
        <v>393</v>
      </c>
    </row>
    <row r="197" spans="1:24" ht="16" customHeight="1" x14ac:dyDescent="0.25">
      <c r="A197" s="147"/>
      <c r="B197" s="64" t="s">
        <v>499</v>
      </c>
      <c r="C197" s="27" t="s">
        <v>436</v>
      </c>
      <c r="D197" s="65">
        <v>4</v>
      </c>
      <c r="E197" s="66"/>
      <c r="F197" s="66"/>
      <c r="G197" s="193"/>
      <c r="H197" s="66"/>
      <c r="I197" s="66"/>
      <c r="J197" s="66"/>
      <c r="K197" s="66"/>
      <c r="L197" s="76"/>
      <c r="M197" s="41"/>
      <c r="N197" s="41"/>
      <c r="O197" s="41"/>
      <c r="P197" s="76"/>
      <c r="Q197" s="76"/>
      <c r="R197" s="171"/>
      <c r="S197" s="171"/>
      <c r="T197" s="171"/>
      <c r="U197" s="41"/>
      <c r="V197" s="171"/>
      <c r="W197" s="80" t="s">
        <v>439</v>
      </c>
      <c r="X197" s="32" t="s">
        <v>402</v>
      </c>
    </row>
    <row r="198" spans="1:24" ht="16" customHeight="1" x14ac:dyDescent="0.25">
      <c r="A198" s="147"/>
      <c r="B198" s="64" t="s">
        <v>500</v>
      </c>
      <c r="C198" s="27" t="s">
        <v>436</v>
      </c>
      <c r="D198" s="59">
        <v>4</v>
      </c>
      <c r="E198" s="60"/>
      <c r="F198" s="60"/>
      <c r="G198" s="192"/>
      <c r="H198" s="60"/>
      <c r="I198" s="60"/>
      <c r="J198" s="60"/>
      <c r="K198" s="60"/>
      <c r="L198" s="76"/>
      <c r="M198" s="41"/>
      <c r="N198" s="41"/>
      <c r="O198" s="41"/>
      <c r="P198" s="76"/>
      <c r="Q198" s="76"/>
      <c r="R198" s="171"/>
      <c r="S198" s="171"/>
      <c r="T198" s="171"/>
      <c r="U198" s="41"/>
      <c r="V198" s="171"/>
      <c r="W198" s="46" t="s">
        <v>441</v>
      </c>
      <c r="X198" s="32" t="s">
        <v>404</v>
      </c>
    </row>
    <row r="199" spans="1:24" ht="16" customHeight="1" x14ac:dyDescent="0.25">
      <c r="A199" s="147"/>
      <c r="B199" s="64" t="s">
        <v>501</v>
      </c>
      <c r="C199" s="27" t="s">
        <v>436</v>
      </c>
      <c r="D199" s="59">
        <v>2</v>
      </c>
      <c r="E199" s="60"/>
      <c r="F199" s="60"/>
      <c r="G199" s="192"/>
      <c r="H199" s="60"/>
      <c r="I199" s="60"/>
      <c r="J199" s="60"/>
      <c r="K199" s="60"/>
      <c r="L199" s="76"/>
      <c r="M199" s="41"/>
      <c r="N199" s="41"/>
      <c r="O199" s="41"/>
      <c r="P199" s="76"/>
      <c r="Q199" s="76"/>
      <c r="R199" s="171"/>
      <c r="S199" s="171"/>
      <c r="T199" s="171"/>
      <c r="U199" s="41"/>
      <c r="V199" s="171"/>
      <c r="W199" s="80" t="s">
        <v>439</v>
      </c>
      <c r="X199" s="32" t="s">
        <v>409</v>
      </c>
    </row>
    <row r="200" spans="1:24" ht="16" customHeight="1" x14ac:dyDescent="0.25">
      <c r="A200" s="147"/>
      <c r="B200" s="64" t="s">
        <v>502</v>
      </c>
      <c r="C200" s="27" t="s">
        <v>436</v>
      </c>
      <c r="D200" s="59">
        <v>4</v>
      </c>
      <c r="E200" s="60"/>
      <c r="F200" s="60"/>
      <c r="G200" s="192"/>
      <c r="H200" s="60"/>
      <c r="I200" s="60"/>
      <c r="J200" s="60"/>
      <c r="K200" s="60"/>
      <c r="L200" s="76"/>
      <c r="M200" s="41"/>
      <c r="N200" s="41"/>
      <c r="O200" s="41"/>
      <c r="P200" s="76"/>
      <c r="Q200" s="76"/>
      <c r="R200" s="171"/>
      <c r="S200" s="171"/>
      <c r="T200" s="171"/>
      <c r="U200" s="41"/>
      <c r="V200" s="171"/>
      <c r="W200" s="46" t="s">
        <v>441</v>
      </c>
      <c r="X200" s="32" t="s">
        <v>400</v>
      </c>
    </row>
    <row r="201" spans="1:24" ht="16" customHeight="1" x14ac:dyDescent="0.25">
      <c r="A201" s="147"/>
      <c r="B201" s="70" t="s">
        <v>524</v>
      </c>
      <c r="C201" s="27" t="s">
        <v>436</v>
      </c>
      <c r="D201" s="55">
        <v>4</v>
      </c>
      <c r="E201" s="18"/>
      <c r="F201" s="18"/>
      <c r="G201" s="190"/>
      <c r="H201" s="18"/>
      <c r="I201" s="18"/>
      <c r="J201" s="18"/>
      <c r="K201" s="18"/>
      <c r="L201" s="76"/>
      <c r="M201" s="41"/>
      <c r="N201" s="41"/>
      <c r="O201" s="41"/>
      <c r="P201" s="76"/>
      <c r="Q201" s="76"/>
      <c r="R201" s="171"/>
      <c r="S201" s="171"/>
      <c r="T201" s="171"/>
      <c r="U201" s="41"/>
      <c r="V201" s="171"/>
      <c r="W201" s="46" t="s">
        <v>441</v>
      </c>
      <c r="X201" s="32" t="s">
        <v>380</v>
      </c>
    </row>
    <row r="202" spans="1:24" ht="16" customHeight="1" x14ac:dyDescent="0.25">
      <c r="A202" s="147"/>
      <c r="B202" s="82" t="s">
        <v>518</v>
      </c>
      <c r="C202" s="27" t="s">
        <v>445</v>
      </c>
      <c r="D202" s="55">
        <v>1</v>
      </c>
      <c r="E202" s="18"/>
      <c r="F202" s="18"/>
      <c r="G202" s="190"/>
      <c r="H202" s="18"/>
      <c r="I202" s="18"/>
      <c r="J202" s="18"/>
      <c r="K202" s="18"/>
      <c r="L202" s="76"/>
      <c r="M202" s="41"/>
      <c r="N202" s="41"/>
      <c r="O202" s="41"/>
      <c r="P202" s="76"/>
      <c r="Q202" s="76"/>
      <c r="R202" s="171"/>
      <c r="S202" s="171"/>
      <c r="T202" s="171"/>
      <c r="U202" s="41"/>
      <c r="V202" s="171"/>
      <c r="W202" s="80" t="s">
        <v>439</v>
      </c>
      <c r="X202" s="32" t="s">
        <v>400</v>
      </c>
    </row>
    <row r="203" spans="1:24" ht="16" customHeight="1" x14ac:dyDescent="0.25">
      <c r="A203" s="147"/>
      <c r="B203" s="64" t="s">
        <v>523</v>
      </c>
      <c r="C203" s="27" t="s">
        <v>445</v>
      </c>
      <c r="D203" s="35">
        <v>1</v>
      </c>
      <c r="E203" s="36"/>
      <c r="F203" s="36"/>
      <c r="G203" s="188"/>
      <c r="H203" s="36"/>
      <c r="I203" s="36"/>
      <c r="J203" s="36"/>
      <c r="K203" s="36"/>
      <c r="L203" s="76"/>
      <c r="M203" s="41"/>
      <c r="N203" s="41"/>
      <c r="O203" s="41"/>
      <c r="P203" s="76"/>
      <c r="Q203" s="76"/>
      <c r="R203" s="172"/>
      <c r="S203" s="172"/>
      <c r="T203" s="172"/>
      <c r="U203" s="41"/>
      <c r="V203" s="172"/>
      <c r="W203" s="80" t="s">
        <v>439</v>
      </c>
      <c r="X203" s="32" t="s">
        <v>380</v>
      </c>
    </row>
    <row r="204" spans="1:24" ht="16" customHeight="1" x14ac:dyDescent="0.25">
      <c r="A204" s="146" t="s">
        <v>525</v>
      </c>
      <c r="B204" s="63" t="s">
        <v>495</v>
      </c>
      <c r="C204" s="27" t="s">
        <v>436</v>
      </c>
      <c r="D204" s="59">
        <v>4</v>
      </c>
      <c r="E204" s="74"/>
      <c r="F204" s="160" t="s">
        <v>497</v>
      </c>
      <c r="G204" s="192"/>
      <c r="H204" s="60"/>
      <c r="I204" s="60"/>
      <c r="J204" s="60"/>
      <c r="K204" s="60"/>
      <c r="L204" s="41"/>
      <c r="M204" s="41"/>
      <c r="N204" s="41"/>
      <c r="O204" s="76"/>
      <c r="P204" s="41"/>
      <c r="Q204" s="41"/>
      <c r="R204" s="170" t="s">
        <v>526</v>
      </c>
      <c r="S204" s="41"/>
      <c r="T204" s="170" t="s">
        <v>527</v>
      </c>
      <c r="U204" s="41"/>
      <c r="V204" s="170" t="s">
        <v>441</v>
      </c>
      <c r="W204" s="46" t="s">
        <v>441</v>
      </c>
      <c r="X204" s="32" t="s">
        <v>388</v>
      </c>
    </row>
    <row r="205" spans="1:24" ht="16" customHeight="1" x14ac:dyDescent="0.25">
      <c r="A205" s="147"/>
      <c r="B205" s="63" t="s">
        <v>498</v>
      </c>
      <c r="C205" s="27" t="s">
        <v>436</v>
      </c>
      <c r="D205" s="59">
        <v>4</v>
      </c>
      <c r="E205" s="74"/>
      <c r="F205" s="161"/>
      <c r="G205" s="192"/>
      <c r="H205" s="60"/>
      <c r="I205" s="60"/>
      <c r="J205" s="60"/>
      <c r="K205" s="60"/>
      <c r="L205" s="41"/>
      <c r="M205" s="41"/>
      <c r="N205" s="41"/>
      <c r="O205" s="76"/>
      <c r="P205" s="41"/>
      <c r="Q205" s="41"/>
      <c r="R205" s="171"/>
      <c r="S205" s="41"/>
      <c r="T205" s="171"/>
      <c r="U205" s="41"/>
      <c r="V205" s="171"/>
      <c r="W205" s="46" t="s">
        <v>441</v>
      </c>
      <c r="X205" s="32" t="s">
        <v>389</v>
      </c>
    </row>
    <row r="206" spans="1:24" ht="16" customHeight="1" x14ac:dyDescent="0.25">
      <c r="A206" s="147"/>
      <c r="B206" s="64" t="s">
        <v>499</v>
      </c>
      <c r="C206" s="27" t="s">
        <v>436</v>
      </c>
      <c r="D206" s="65">
        <v>4</v>
      </c>
      <c r="E206" s="75"/>
      <c r="F206" s="161"/>
      <c r="G206" s="193"/>
      <c r="H206" s="66"/>
      <c r="I206" s="66"/>
      <c r="J206" s="66"/>
      <c r="K206" s="66"/>
      <c r="L206" s="41"/>
      <c r="M206" s="41"/>
      <c r="N206" s="41"/>
      <c r="O206" s="76"/>
      <c r="P206" s="41"/>
      <c r="Q206" s="41"/>
      <c r="R206" s="171"/>
      <c r="S206" s="41"/>
      <c r="T206" s="171"/>
      <c r="U206" s="41"/>
      <c r="V206" s="171"/>
      <c r="W206" s="80" t="s">
        <v>439</v>
      </c>
      <c r="X206" s="32" t="s">
        <v>405</v>
      </c>
    </row>
    <row r="207" spans="1:24" ht="16" customHeight="1" x14ac:dyDescent="0.25">
      <c r="A207" s="147"/>
      <c r="B207" s="63" t="s">
        <v>500</v>
      </c>
      <c r="C207" s="27" t="s">
        <v>436</v>
      </c>
      <c r="D207" s="59">
        <v>4</v>
      </c>
      <c r="E207" s="74"/>
      <c r="F207" s="161"/>
      <c r="G207" s="192"/>
      <c r="H207" s="60"/>
      <c r="I207" s="60"/>
      <c r="J207" s="60"/>
      <c r="K207" s="60"/>
      <c r="L207" s="41"/>
      <c r="M207" s="41"/>
      <c r="N207" s="41"/>
      <c r="O207" s="76"/>
      <c r="P207" s="41"/>
      <c r="Q207" s="41"/>
      <c r="R207" s="171"/>
      <c r="S207" s="41"/>
      <c r="T207" s="171"/>
      <c r="U207" s="41"/>
      <c r="V207" s="171"/>
      <c r="W207" s="46" t="s">
        <v>441</v>
      </c>
      <c r="X207" s="32" t="s">
        <v>391</v>
      </c>
    </row>
    <row r="208" spans="1:24" ht="16" customHeight="1" x14ac:dyDescent="0.25">
      <c r="A208" s="147"/>
      <c r="B208" s="63" t="s">
        <v>501</v>
      </c>
      <c r="C208" s="27" t="s">
        <v>436</v>
      </c>
      <c r="D208" s="59">
        <v>2</v>
      </c>
      <c r="E208" s="74"/>
      <c r="F208" s="161"/>
      <c r="G208" s="192"/>
      <c r="H208" s="60"/>
      <c r="I208" s="60"/>
      <c r="J208" s="60"/>
      <c r="K208" s="60"/>
      <c r="L208" s="41"/>
      <c r="M208" s="41"/>
      <c r="N208" s="41"/>
      <c r="O208" s="76"/>
      <c r="P208" s="41"/>
      <c r="Q208" s="41"/>
      <c r="R208" s="171"/>
      <c r="S208" s="41"/>
      <c r="T208" s="171"/>
      <c r="U208" s="41"/>
      <c r="V208" s="171"/>
      <c r="W208" s="80" t="s">
        <v>439</v>
      </c>
      <c r="X208" s="32" t="s">
        <v>382</v>
      </c>
    </row>
    <row r="209" spans="1:24" ht="16" customHeight="1" x14ac:dyDescent="0.25">
      <c r="A209" s="147"/>
      <c r="B209" s="64" t="s">
        <v>528</v>
      </c>
      <c r="C209" s="27" t="s">
        <v>436</v>
      </c>
      <c r="D209" s="59">
        <v>4</v>
      </c>
      <c r="E209" s="74"/>
      <c r="F209" s="161"/>
      <c r="G209" s="192"/>
      <c r="H209" s="60"/>
      <c r="I209" s="60"/>
      <c r="J209" s="60"/>
      <c r="K209" s="60"/>
      <c r="L209" s="41"/>
      <c r="M209" s="41"/>
      <c r="N209" s="41"/>
      <c r="O209" s="76"/>
      <c r="P209" s="41"/>
      <c r="Q209" s="41"/>
      <c r="R209" s="171"/>
      <c r="S209" s="41"/>
      <c r="T209" s="171"/>
      <c r="U209" s="41"/>
      <c r="V209" s="171"/>
      <c r="W209" s="46" t="s">
        <v>441</v>
      </c>
      <c r="X209" s="32" t="s">
        <v>401</v>
      </c>
    </row>
    <row r="210" spans="1:24" ht="16" customHeight="1" x14ac:dyDescent="0.25">
      <c r="A210" s="147"/>
      <c r="B210" s="82" t="s">
        <v>529</v>
      </c>
      <c r="C210" s="27" t="s">
        <v>436</v>
      </c>
      <c r="D210" s="32">
        <v>4</v>
      </c>
      <c r="E210" s="83"/>
      <c r="F210" s="161"/>
      <c r="G210" s="187"/>
      <c r="H210" s="33"/>
      <c r="I210" s="33"/>
      <c r="J210" s="33"/>
      <c r="K210" s="33"/>
      <c r="L210" s="41"/>
      <c r="M210" s="41"/>
      <c r="N210" s="41"/>
      <c r="O210" s="76"/>
      <c r="P210" s="41"/>
      <c r="Q210" s="41"/>
      <c r="R210" s="171"/>
      <c r="S210" s="41"/>
      <c r="T210" s="171"/>
      <c r="U210" s="41"/>
      <c r="V210" s="171"/>
      <c r="W210" s="46" t="s">
        <v>441</v>
      </c>
      <c r="X210" s="32" t="s">
        <v>401</v>
      </c>
    </row>
    <row r="211" spans="1:24" ht="16" customHeight="1" x14ac:dyDescent="0.25">
      <c r="A211" s="147"/>
      <c r="B211" s="82" t="s">
        <v>526</v>
      </c>
      <c r="C211" s="27" t="s">
        <v>445</v>
      </c>
      <c r="D211" s="32">
        <v>1</v>
      </c>
      <c r="E211" s="83"/>
      <c r="F211" s="161"/>
      <c r="G211" s="187"/>
      <c r="H211" s="33"/>
      <c r="I211" s="33"/>
      <c r="J211" s="33"/>
      <c r="K211" s="33"/>
      <c r="L211" s="41"/>
      <c r="M211" s="41"/>
      <c r="N211" s="41"/>
      <c r="O211" s="76"/>
      <c r="P211" s="41"/>
      <c r="Q211" s="41"/>
      <c r="R211" s="171"/>
      <c r="S211" s="41"/>
      <c r="T211" s="171"/>
      <c r="U211" s="41"/>
      <c r="V211" s="171"/>
      <c r="W211" s="80" t="s">
        <v>439</v>
      </c>
      <c r="X211" s="32" t="s">
        <v>401</v>
      </c>
    </row>
    <row r="212" spans="1:24" ht="16" customHeight="1" x14ac:dyDescent="0.25">
      <c r="A212" s="147"/>
      <c r="B212" s="63" t="s">
        <v>527</v>
      </c>
      <c r="C212" s="27" t="s">
        <v>445</v>
      </c>
      <c r="D212" s="35">
        <v>1</v>
      </c>
      <c r="E212" s="81"/>
      <c r="F212" s="162"/>
      <c r="G212" s="188"/>
      <c r="H212" s="36"/>
      <c r="I212" s="36"/>
      <c r="J212" s="36"/>
      <c r="K212" s="36"/>
      <c r="L212" s="41"/>
      <c r="M212" s="41"/>
      <c r="N212" s="41"/>
      <c r="O212" s="76"/>
      <c r="P212" s="41"/>
      <c r="Q212" s="41"/>
      <c r="R212" s="172"/>
      <c r="S212" s="41"/>
      <c r="T212" s="172"/>
      <c r="U212" s="41"/>
      <c r="V212" s="171"/>
      <c r="W212" s="80" t="s">
        <v>439</v>
      </c>
      <c r="X212" s="32" t="s">
        <v>401</v>
      </c>
    </row>
    <row r="213" spans="1:24" ht="16" customHeight="1" x14ac:dyDescent="0.25">
      <c r="A213" s="146" t="s">
        <v>530</v>
      </c>
      <c r="B213" s="63" t="s">
        <v>495</v>
      </c>
      <c r="C213" s="27" t="s">
        <v>436</v>
      </c>
      <c r="D213" s="59">
        <v>4</v>
      </c>
      <c r="E213" s="60"/>
      <c r="F213" s="60"/>
      <c r="G213" s="192"/>
      <c r="H213" s="74"/>
      <c r="I213" s="163" t="s">
        <v>497</v>
      </c>
      <c r="J213" s="60"/>
      <c r="K213" s="60"/>
      <c r="L213" s="76"/>
      <c r="M213" s="41"/>
      <c r="N213" s="41"/>
      <c r="O213" s="76"/>
      <c r="P213" s="76"/>
      <c r="Q213" s="170" t="s">
        <v>531</v>
      </c>
      <c r="R213" s="41"/>
      <c r="S213" s="170" t="s">
        <v>527</v>
      </c>
      <c r="T213" s="41"/>
      <c r="U213" s="41"/>
      <c r="V213" s="170" t="s">
        <v>441</v>
      </c>
      <c r="W213" s="46" t="s">
        <v>441</v>
      </c>
      <c r="X213" s="32" t="s">
        <v>388</v>
      </c>
    </row>
    <row r="214" spans="1:24" ht="16" customHeight="1" x14ac:dyDescent="0.25">
      <c r="A214" s="147"/>
      <c r="B214" s="63" t="s">
        <v>498</v>
      </c>
      <c r="C214" s="27" t="s">
        <v>436</v>
      </c>
      <c r="D214" s="59">
        <v>4</v>
      </c>
      <c r="E214" s="60"/>
      <c r="F214" s="60"/>
      <c r="G214" s="192"/>
      <c r="H214" s="74"/>
      <c r="I214" s="163"/>
      <c r="J214" s="60"/>
      <c r="K214" s="60"/>
      <c r="L214" s="76"/>
      <c r="M214" s="41"/>
      <c r="N214" s="41"/>
      <c r="O214" s="76"/>
      <c r="P214" s="76"/>
      <c r="Q214" s="171"/>
      <c r="R214" s="41"/>
      <c r="S214" s="171"/>
      <c r="T214" s="41"/>
      <c r="U214" s="41"/>
      <c r="V214" s="171"/>
      <c r="W214" s="46" t="s">
        <v>441</v>
      </c>
      <c r="X214" s="32" t="s">
        <v>389</v>
      </c>
    </row>
    <row r="215" spans="1:24" ht="16" customHeight="1" x14ac:dyDescent="0.25">
      <c r="A215" s="147"/>
      <c r="B215" s="64" t="s">
        <v>499</v>
      </c>
      <c r="C215" s="27" t="s">
        <v>436</v>
      </c>
      <c r="D215" s="65">
        <v>4</v>
      </c>
      <c r="E215" s="66"/>
      <c r="F215" s="66"/>
      <c r="G215" s="193"/>
      <c r="H215" s="75"/>
      <c r="I215" s="163"/>
      <c r="J215" s="66"/>
      <c r="K215" s="66"/>
      <c r="L215" s="76"/>
      <c r="M215" s="41"/>
      <c r="N215" s="41"/>
      <c r="O215" s="76"/>
      <c r="P215" s="76"/>
      <c r="Q215" s="171"/>
      <c r="R215" s="41"/>
      <c r="S215" s="171"/>
      <c r="T215" s="41"/>
      <c r="U215" s="41"/>
      <c r="V215" s="171"/>
      <c r="W215" s="80" t="s">
        <v>439</v>
      </c>
      <c r="X215" s="32" t="s">
        <v>405</v>
      </c>
    </row>
    <row r="216" spans="1:24" ht="16" customHeight="1" x14ac:dyDescent="0.25">
      <c r="A216" s="147"/>
      <c r="B216" s="63" t="s">
        <v>500</v>
      </c>
      <c r="C216" s="27" t="s">
        <v>436</v>
      </c>
      <c r="D216" s="59">
        <v>4</v>
      </c>
      <c r="E216" s="60"/>
      <c r="F216" s="60"/>
      <c r="G216" s="192"/>
      <c r="H216" s="74"/>
      <c r="I216" s="163"/>
      <c r="J216" s="60"/>
      <c r="K216" s="60"/>
      <c r="L216" s="76"/>
      <c r="M216" s="41"/>
      <c r="N216" s="41"/>
      <c r="O216" s="76"/>
      <c r="P216" s="76"/>
      <c r="Q216" s="171"/>
      <c r="R216" s="41"/>
      <c r="S216" s="171"/>
      <c r="T216" s="41"/>
      <c r="U216" s="41"/>
      <c r="V216" s="171"/>
      <c r="W216" s="46" t="s">
        <v>441</v>
      </c>
      <c r="X216" s="32" t="s">
        <v>395</v>
      </c>
    </row>
    <row r="217" spans="1:24" ht="16" customHeight="1" x14ac:dyDescent="0.25">
      <c r="A217" s="147"/>
      <c r="B217" s="63" t="s">
        <v>501</v>
      </c>
      <c r="C217" s="27" t="s">
        <v>436</v>
      </c>
      <c r="D217" s="59">
        <v>2</v>
      </c>
      <c r="E217" s="60"/>
      <c r="F217" s="60"/>
      <c r="G217" s="192"/>
      <c r="H217" s="74"/>
      <c r="I217" s="163"/>
      <c r="J217" s="60"/>
      <c r="K217" s="60"/>
      <c r="L217" s="76"/>
      <c r="M217" s="41"/>
      <c r="N217" s="41"/>
      <c r="O217" s="76"/>
      <c r="P217" s="76"/>
      <c r="Q217" s="171"/>
      <c r="R217" s="41"/>
      <c r="S217" s="171"/>
      <c r="T217" s="41"/>
      <c r="U217" s="41"/>
      <c r="V217" s="171"/>
      <c r="W217" s="80" t="s">
        <v>439</v>
      </c>
      <c r="X217" s="32" t="s">
        <v>382</v>
      </c>
    </row>
    <row r="218" spans="1:24" ht="16" customHeight="1" x14ac:dyDescent="0.25">
      <c r="A218" s="147"/>
      <c r="B218" s="64" t="s">
        <v>502</v>
      </c>
      <c r="C218" s="27" t="s">
        <v>436</v>
      </c>
      <c r="D218" s="59">
        <v>4</v>
      </c>
      <c r="E218" s="60"/>
      <c r="F218" s="60"/>
      <c r="G218" s="192"/>
      <c r="H218" s="74"/>
      <c r="I218" s="163"/>
      <c r="J218" s="60"/>
      <c r="K218" s="60"/>
      <c r="L218" s="76"/>
      <c r="M218" s="41"/>
      <c r="N218" s="41"/>
      <c r="O218" s="76"/>
      <c r="P218" s="76"/>
      <c r="Q218" s="171"/>
      <c r="R218" s="41"/>
      <c r="S218" s="171"/>
      <c r="T218" s="41"/>
      <c r="U218" s="41"/>
      <c r="V218" s="171"/>
      <c r="W218" s="80" t="s">
        <v>439</v>
      </c>
      <c r="X218" s="32" t="s">
        <v>401</v>
      </c>
    </row>
    <row r="219" spans="1:24" ht="16" customHeight="1" x14ac:dyDescent="0.25">
      <c r="A219" s="147"/>
      <c r="B219" s="82" t="s">
        <v>529</v>
      </c>
      <c r="C219" s="27" t="s">
        <v>436</v>
      </c>
      <c r="D219" s="32">
        <v>4</v>
      </c>
      <c r="E219" s="33"/>
      <c r="F219" s="33"/>
      <c r="G219" s="187"/>
      <c r="H219" s="83"/>
      <c r="I219" s="163"/>
      <c r="J219" s="33"/>
      <c r="K219" s="33"/>
      <c r="L219" s="76"/>
      <c r="M219" s="41"/>
      <c r="N219" s="41"/>
      <c r="O219" s="76"/>
      <c r="P219" s="76"/>
      <c r="Q219" s="171"/>
      <c r="R219" s="41"/>
      <c r="S219" s="171"/>
      <c r="T219" s="41"/>
      <c r="U219" s="41"/>
      <c r="V219" s="171"/>
      <c r="W219" s="80" t="s">
        <v>439</v>
      </c>
      <c r="X219" s="32" t="s">
        <v>401</v>
      </c>
    </row>
    <row r="220" spans="1:24" ht="16" customHeight="1" x14ac:dyDescent="0.25">
      <c r="A220" s="147"/>
      <c r="B220" s="82" t="s">
        <v>531</v>
      </c>
      <c r="C220" s="27" t="s">
        <v>445</v>
      </c>
      <c r="D220" s="32">
        <v>1</v>
      </c>
      <c r="E220" s="33"/>
      <c r="F220" s="33"/>
      <c r="G220" s="187"/>
      <c r="H220" s="83"/>
      <c r="I220" s="163"/>
      <c r="J220" s="33"/>
      <c r="K220" s="33"/>
      <c r="L220" s="76"/>
      <c r="M220" s="41"/>
      <c r="N220" s="41"/>
      <c r="O220" s="76"/>
      <c r="P220" s="76"/>
      <c r="Q220" s="171"/>
      <c r="R220" s="41"/>
      <c r="S220" s="171"/>
      <c r="T220" s="41"/>
      <c r="U220" s="41"/>
      <c r="V220" s="171"/>
      <c r="W220" s="80" t="s">
        <v>439</v>
      </c>
      <c r="X220" s="32" t="s">
        <v>401</v>
      </c>
    </row>
    <row r="221" spans="1:24" ht="16" customHeight="1" x14ac:dyDescent="0.25">
      <c r="A221" s="147"/>
      <c r="B221" s="63" t="s">
        <v>527</v>
      </c>
      <c r="C221" s="27" t="s">
        <v>445</v>
      </c>
      <c r="D221" s="35">
        <v>1</v>
      </c>
      <c r="E221" s="36"/>
      <c r="F221" s="36"/>
      <c r="G221" s="188"/>
      <c r="H221" s="81"/>
      <c r="I221" s="163"/>
      <c r="J221" s="36"/>
      <c r="K221" s="36"/>
      <c r="L221" s="76"/>
      <c r="M221" s="41"/>
      <c r="N221" s="41"/>
      <c r="O221" s="76"/>
      <c r="P221" s="76"/>
      <c r="Q221" s="172"/>
      <c r="R221" s="41"/>
      <c r="S221" s="172"/>
      <c r="T221" s="41"/>
      <c r="U221" s="41"/>
      <c r="V221" s="171"/>
      <c r="W221" s="80" t="s">
        <v>439</v>
      </c>
      <c r="X221" s="32" t="s">
        <v>401</v>
      </c>
    </row>
    <row r="222" spans="1:24" ht="16" customHeight="1" x14ac:dyDescent="0.25">
      <c r="A222" s="146" t="s">
        <v>532</v>
      </c>
      <c r="B222" s="63" t="s">
        <v>495</v>
      </c>
      <c r="C222" s="27" t="s">
        <v>436</v>
      </c>
      <c r="D222" s="59">
        <v>4</v>
      </c>
      <c r="E222" s="60"/>
      <c r="F222" s="74"/>
      <c r="G222" s="201"/>
      <c r="H222" s="163" t="s">
        <v>497</v>
      </c>
      <c r="I222" s="60"/>
      <c r="J222" s="60"/>
      <c r="K222" s="60"/>
      <c r="L222" s="41"/>
      <c r="M222" s="41"/>
      <c r="N222" s="41"/>
      <c r="O222" s="76"/>
      <c r="P222" s="76"/>
      <c r="Q222" s="170" t="s">
        <v>533</v>
      </c>
      <c r="R222" s="41"/>
      <c r="S222" s="170" t="s">
        <v>534</v>
      </c>
      <c r="T222" s="41"/>
      <c r="U222" s="41"/>
      <c r="V222" s="170" t="s">
        <v>441</v>
      </c>
      <c r="W222" s="46" t="s">
        <v>441</v>
      </c>
      <c r="X222" s="32" t="s">
        <v>388</v>
      </c>
    </row>
    <row r="223" spans="1:24" ht="16" customHeight="1" x14ac:dyDescent="0.25">
      <c r="A223" s="147"/>
      <c r="B223" s="63" t="s">
        <v>498</v>
      </c>
      <c r="C223" s="27" t="s">
        <v>436</v>
      </c>
      <c r="D223" s="59">
        <v>4</v>
      </c>
      <c r="E223" s="60"/>
      <c r="F223" s="74"/>
      <c r="G223" s="201"/>
      <c r="H223" s="163"/>
      <c r="I223" s="60"/>
      <c r="J223" s="60"/>
      <c r="K223" s="60"/>
      <c r="L223" s="41"/>
      <c r="M223" s="41"/>
      <c r="N223" s="41"/>
      <c r="O223" s="76"/>
      <c r="P223" s="76"/>
      <c r="Q223" s="171"/>
      <c r="R223" s="41"/>
      <c r="S223" s="171"/>
      <c r="T223" s="41"/>
      <c r="U223" s="41"/>
      <c r="V223" s="171"/>
      <c r="W223" s="46" t="s">
        <v>441</v>
      </c>
      <c r="X223" s="32" t="s">
        <v>389</v>
      </c>
    </row>
    <row r="224" spans="1:24" ht="16" customHeight="1" x14ac:dyDescent="0.25">
      <c r="A224" s="147"/>
      <c r="B224" s="64" t="s">
        <v>499</v>
      </c>
      <c r="C224" s="27" t="s">
        <v>436</v>
      </c>
      <c r="D224" s="65">
        <v>4</v>
      </c>
      <c r="E224" s="66"/>
      <c r="F224" s="75"/>
      <c r="G224" s="201"/>
      <c r="H224" s="163"/>
      <c r="I224" s="66"/>
      <c r="J224" s="66"/>
      <c r="K224" s="66"/>
      <c r="L224" s="41"/>
      <c r="M224" s="41"/>
      <c r="N224" s="41"/>
      <c r="O224" s="76"/>
      <c r="P224" s="76"/>
      <c r="Q224" s="171"/>
      <c r="R224" s="41"/>
      <c r="S224" s="171"/>
      <c r="T224" s="41"/>
      <c r="U224" s="41"/>
      <c r="V224" s="171"/>
      <c r="W224" s="49" t="s">
        <v>439</v>
      </c>
      <c r="X224" s="32" t="s">
        <v>405</v>
      </c>
    </row>
    <row r="225" spans="1:24" ht="16" customHeight="1" x14ac:dyDescent="0.25">
      <c r="A225" s="147"/>
      <c r="B225" s="63" t="s">
        <v>500</v>
      </c>
      <c r="C225" s="27" t="s">
        <v>436</v>
      </c>
      <c r="D225" s="59">
        <v>4</v>
      </c>
      <c r="E225" s="60"/>
      <c r="F225" s="74"/>
      <c r="G225" s="201"/>
      <c r="H225" s="163"/>
      <c r="I225" s="60"/>
      <c r="J225" s="60"/>
      <c r="K225" s="60"/>
      <c r="L225" s="41"/>
      <c r="M225" s="41"/>
      <c r="N225" s="41"/>
      <c r="O225" s="76"/>
      <c r="P225" s="76"/>
      <c r="Q225" s="171"/>
      <c r="R225" s="41"/>
      <c r="S225" s="171"/>
      <c r="T225" s="41"/>
      <c r="U225" s="41"/>
      <c r="V225" s="171"/>
      <c r="W225" s="46" t="s">
        <v>441</v>
      </c>
      <c r="X225" s="32" t="s">
        <v>395</v>
      </c>
    </row>
    <row r="226" spans="1:24" ht="16" customHeight="1" x14ac:dyDescent="0.25">
      <c r="A226" s="147"/>
      <c r="B226" s="63" t="s">
        <v>501</v>
      </c>
      <c r="C226" s="27" t="s">
        <v>436</v>
      </c>
      <c r="D226" s="59">
        <v>2</v>
      </c>
      <c r="E226" s="60"/>
      <c r="F226" s="74"/>
      <c r="G226" s="201"/>
      <c r="H226" s="163"/>
      <c r="I226" s="60"/>
      <c r="J226" s="60"/>
      <c r="K226" s="60"/>
      <c r="L226" s="41"/>
      <c r="M226" s="41"/>
      <c r="N226" s="41"/>
      <c r="O226" s="76"/>
      <c r="P226" s="76"/>
      <c r="Q226" s="171"/>
      <c r="R226" s="41"/>
      <c r="S226" s="171"/>
      <c r="T226" s="41"/>
      <c r="U226" s="41"/>
      <c r="V226" s="171"/>
      <c r="W226" s="49" t="s">
        <v>439</v>
      </c>
      <c r="X226" s="32" t="s">
        <v>409</v>
      </c>
    </row>
    <row r="227" spans="1:24" ht="16" customHeight="1" x14ac:dyDescent="0.25">
      <c r="A227" s="147"/>
      <c r="B227" s="82" t="s">
        <v>535</v>
      </c>
      <c r="C227" s="27" t="s">
        <v>436</v>
      </c>
      <c r="D227" s="84">
        <v>4</v>
      </c>
      <c r="E227" s="85"/>
      <c r="F227" s="86"/>
      <c r="G227" s="201"/>
      <c r="H227" s="163"/>
      <c r="I227" s="85"/>
      <c r="J227" s="85"/>
      <c r="K227" s="85"/>
      <c r="L227" s="41"/>
      <c r="M227" s="41"/>
      <c r="N227" s="41"/>
      <c r="O227" s="76"/>
      <c r="P227" s="76"/>
      <c r="Q227" s="171"/>
      <c r="R227" s="41"/>
      <c r="S227" s="171"/>
      <c r="T227" s="41"/>
      <c r="U227" s="41"/>
      <c r="V227" s="171"/>
      <c r="W227" s="49" t="s">
        <v>439</v>
      </c>
      <c r="X227" s="32" t="s">
        <v>399</v>
      </c>
    </row>
    <row r="228" spans="1:24" ht="16" customHeight="1" x14ac:dyDescent="0.25">
      <c r="A228" s="147"/>
      <c r="B228" s="82" t="s">
        <v>536</v>
      </c>
      <c r="C228" s="27" t="s">
        <v>436</v>
      </c>
      <c r="D228" s="84">
        <v>4</v>
      </c>
      <c r="E228" s="85"/>
      <c r="F228" s="86"/>
      <c r="G228" s="201"/>
      <c r="H228" s="163"/>
      <c r="I228" s="85"/>
      <c r="J228" s="85"/>
      <c r="K228" s="85"/>
      <c r="L228" s="41"/>
      <c r="M228" s="41"/>
      <c r="N228" s="41"/>
      <c r="O228" s="76"/>
      <c r="P228" s="76"/>
      <c r="Q228" s="171"/>
      <c r="R228" s="41"/>
      <c r="S228" s="171"/>
      <c r="T228" s="41"/>
      <c r="U228" s="41"/>
      <c r="V228" s="171"/>
      <c r="W228" s="46" t="s">
        <v>441</v>
      </c>
      <c r="X228" s="32" t="s">
        <v>399</v>
      </c>
    </row>
    <row r="229" spans="1:24" ht="16" customHeight="1" x14ac:dyDescent="0.25">
      <c r="A229" s="147"/>
      <c r="B229" s="82" t="s">
        <v>533</v>
      </c>
      <c r="C229" s="27" t="s">
        <v>445</v>
      </c>
      <c r="D229" s="32">
        <v>1</v>
      </c>
      <c r="E229" s="33"/>
      <c r="F229" s="83"/>
      <c r="G229" s="201"/>
      <c r="H229" s="163"/>
      <c r="I229" s="33"/>
      <c r="J229" s="33"/>
      <c r="K229" s="33"/>
      <c r="L229" s="41"/>
      <c r="M229" s="41"/>
      <c r="N229" s="41"/>
      <c r="O229" s="76"/>
      <c r="P229" s="76"/>
      <c r="Q229" s="171"/>
      <c r="R229" s="41"/>
      <c r="S229" s="171"/>
      <c r="T229" s="41"/>
      <c r="U229" s="41"/>
      <c r="V229" s="171"/>
      <c r="W229" s="49" t="s">
        <v>439</v>
      </c>
      <c r="X229" s="32" t="s">
        <v>399</v>
      </c>
    </row>
    <row r="230" spans="1:24" ht="16" customHeight="1" x14ac:dyDescent="0.25">
      <c r="A230" s="147"/>
      <c r="B230" s="82" t="s">
        <v>534</v>
      </c>
      <c r="C230" s="27" t="s">
        <v>445</v>
      </c>
      <c r="D230" s="35">
        <v>1</v>
      </c>
      <c r="E230" s="36"/>
      <c r="F230" s="81"/>
      <c r="G230" s="201"/>
      <c r="H230" s="163"/>
      <c r="I230" s="36"/>
      <c r="J230" s="36"/>
      <c r="K230" s="36"/>
      <c r="L230" s="41"/>
      <c r="M230" s="41"/>
      <c r="N230" s="41"/>
      <c r="O230" s="76"/>
      <c r="P230" s="76"/>
      <c r="Q230" s="172"/>
      <c r="R230" s="41"/>
      <c r="S230" s="172"/>
      <c r="T230" s="41"/>
      <c r="U230" s="41"/>
      <c r="V230" s="172"/>
      <c r="W230" s="49" t="s">
        <v>439</v>
      </c>
      <c r="X230" s="32" t="s">
        <v>399</v>
      </c>
    </row>
    <row r="231" spans="1:24" ht="16" customHeight="1" x14ac:dyDescent="0.25">
      <c r="A231" s="145" t="s">
        <v>537</v>
      </c>
      <c r="B231" s="63" t="s">
        <v>495</v>
      </c>
      <c r="C231" s="27" t="s">
        <v>436</v>
      </c>
      <c r="D231" s="59">
        <v>4</v>
      </c>
      <c r="E231" s="60"/>
      <c r="F231" s="74"/>
      <c r="G231" s="202" t="s">
        <v>497</v>
      </c>
      <c r="H231" s="60"/>
      <c r="I231" s="60"/>
      <c r="J231" s="60"/>
      <c r="K231" s="60"/>
      <c r="L231" s="41"/>
      <c r="M231" s="41"/>
      <c r="N231" s="76"/>
      <c r="O231" s="41"/>
      <c r="P231" s="41"/>
      <c r="Q231" s="41"/>
      <c r="R231" s="170" t="s">
        <v>538</v>
      </c>
      <c r="S231" s="41"/>
      <c r="T231" s="41"/>
      <c r="U231" s="41"/>
      <c r="V231" s="170" t="s">
        <v>441</v>
      </c>
      <c r="W231" s="46" t="s">
        <v>441</v>
      </c>
      <c r="X231" s="32" t="s">
        <v>388</v>
      </c>
    </row>
    <row r="232" spans="1:24" ht="16" customHeight="1" x14ac:dyDescent="0.25">
      <c r="A232" s="145"/>
      <c r="B232" s="63" t="s">
        <v>498</v>
      </c>
      <c r="C232" s="27" t="s">
        <v>436</v>
      </c>
      <c r="D232" s="59">
        <v>4</v>
      </c>
      <c r="E232" s="60"/>
      <c r="F232" s="74"/>
      <c r="G232" s="202"/>
      <c r="H232" s="60"/>
      <c r="I232" s="60"/>
      <c r="J232" s="60"/>
      <c r="K232" s="60"/>
      <c r="L232" s="41"/>
      <c r="M232" s="41"/>
      <c r="N232" s="76"/>
      <c r="O232" s="41"/>
      <c r="P232" s="41"/>
      <c r="Q232" s="41"/>
      <c r="R232" s="171"/>
      <c r="S232" s="41"/>
      <c r="T232" s="41"/>
      <c r="U232" s="41"/>
      <c r="V232" s="171"/>
      <c r="W232" s="46" t="s">
        <v>441</v>
      </c>
      <c r="X232" s="32" t="s">
        <v>389</v>
      </c>
    </row>
    <row r="233" spans="1:24" ht="16" customHeight="1" x14ac:dyDescent="0.25">
      <c r="A233" s="145"/>
      <c r="B233" s="64" t="s">
        <v>499</v>
      </c>
      <c r="C233" s="27" t="s">
        <v>436</v>
      </c>
      <c r="D233" s="65">
        <v>4</v>
      </c>
      <c r="E233" s="66"/>
      <c r="F233" s="75"/>
      <c r="G233" s="202"/>
      <c r="H233" s="66"/>
      <c r="I233" s="66"/>
      <c r="J233" s="66"/>
      <c r="K233" s="66"/>
      <c r="L233" s="41"/>
      <c r="M233" s="41"/>
      <c r="N233" s="76"/>
      <c r="O233" s="41"/>
      <c r="P233" s="41"/>
      <c r="Q233" s="41"/>
      <c r="R233" s="171"/>
      <c r="S233" s="41"/>
      <c r="T233" s="41"/>
      <c r="U233" s="41"/>
      <c r="V233" s="171"/>
      <c r="W233" s="49" t="s">
        <v>439</v>
      </c>
      <c r="X233" s="32" t="s">
        <v>405</v>
      </c>
    </row>
    <row r="234" spans="1:24" ht="16" customHeight="1" x14ac:dyDescent="0.25">
      <c r="A234" s="145"/>
      <c r="B234" s="63" t="s">
        <v>500</v>
      </c>
      <c r="C234" s="27" t="s">
        <v>436</v>
      </c>
      <c r="D234" s="59">
        <v>4</v>
      </c>
      <c r="E234" s="60"/>
      <c r="F234" s="74"/>
      <c r="G234" s="202"/>
      <c r="H234" s="60"/>
      <c r="I234" s="60"/>
      <c r="J234" s="60"/>
      <c r="K234" s="60"/>
      <c r="L234" s="41"/>
      <c r="M234" s="41"/>
      <c r="N234" s="76"/>
      <c r="O234" s="41"/>
      <c r="P234" s="41"/>
      <c r="Q234" s="41"/>
      <c r="R234" s="171"/>
      <c r="S234" s="41"/>
      <c r="T234" s="41"/>
      <c r="U234" s="41"/>
      <c r="V234" s="171"/>
      <c r="W234" s="46" t="s">
        <v>441</v>
      </c>
      <c r="X234" s="32" t="s">
        <v>395</v>
      </c>
    </row>
    <row r="235" spans="1:24" ht="16" customHeight="1" x14ac:dyDescent="0.25">
      <c r="A235" s="145"/>
      <c r="B235" s="63" t="s">
        <v>501</v>
      </c>
      <c r="C235" s="27" t="s">
        <v>436</v>
      </c>
      <c r="D235" s="59">
        <v>2</v>
      </c>
      <c r="E235" s="60"/>
      <c r="F235" s="74"/>
      <c r="G235" s="202"/>
      <c r="H235" s="60"/>
      <c r="I235" s="60"/>
      <c r="J235" s="60"/>
      <c r="K235" s="60"/>
      <c r="L235" s="41"/>
      <c r="M235" s="41"/>
      <c r="N235" s="76"/>
      <c r="O235" s="41"/>
      <c r="P235" s="41"/>
      <c r="Q235" s="41"/>
      <c r="R235" s="171"/>
      <c r="S235" s="41"/>
      <c r="T235" s="41"/>
      <c r="U235" s="41"/>
      <c r="V235" s="171"/>
      <c r="W235" s="49" t="s">
        <v>439</v>
      </c>
      <c r="X235" s="32" t="s">
        <v>409</v>
      </c>
    </row>
    <row r="236" spans="1:24" ht="16" customHeight="1" x14ac:dyDescent="0.25">
      <c r="A236" s="145"/>
      <c r="B236" s="64" t="s">
        <v>502</v>
      </c>
      <c r="C236" s="27" t="s">
        <v>436</v>
      </c>
      <c r="D236" s="59">
        <v>4</v>
      </c>
      <c r="E236" s="60"/>
      <c r="F236" s="74"/>
      <c r="G236" s="202"/>
      <c r="H236" s="60"/>
      <c r="I236" s="60"/>
      <c r="J236" s="60"/>
      <c r="K236" s="60"/>
      <c r="L236" s="41"/>
      <c r="M236" s="41"/>
      <c r="N236" s="76"/>
      <c r="O236" s="41"/>
      <c r="P236" s="41"/>
      <c r="Q236" s="41"/>
      <c r="R236" s="171"/>
      <c r="S236" s="41"/>
      <c r="T236" s="41"/>
      <c r="U236" s="41"/>
      <c r="V236" s="171"/>
      <c r="W236" s="49" t="s">
        <v>439</v>
      </c>
      <c r="X236" s="32" t="s">
        <v>397</v>
      </c>
    </row>
    <row r="237" spans="1:24" ht="16" customHeight="1" x14ac:dyDescent="0.25">
      <c r="A237" s="145"/>
      <c r="B237" s="82" t="s">
        <v>539</v>
      </c>
      <c r="C237" s="27" t="s">
        <v>436</v>
      </c>
      <c r="D237" s="32">
        <v>4</v>
      </c>
      <c r="E237" s="33"/>
      <c r="F237" s="83"/>
      <c r="G237" s="202"/>
      <c r="H237" s="33"/>
      <c r="I237" s="33"/>
      <c r="J237" s="33"/>
      <c r="K237" s="33"/>
      <c r="L237" s="41"/>
      <c r="M237" s="41"/>
      <c r="N237" s="76"/>
      <c r="O237" s="41"/>
      <c r="P237" s="41"/>
      <c r="Q237" s="41"/>
      <c r="R237" s="171"/>
      <c r="S237" s="41"/>
      <c r="T237" s="41"/>
      <c r="U237" s="41"/>
      <c r="V237" s="171"/>
      <c r="W237" s="46" t="s">
        <v>441</v>
      </c>
      <c r="X237" s="32" t="s">
        <v>399</v>
      </c>
    </row>
    <row r="238" spans="1:24" ht="16" customHeight="1" x14ac:dyDescent="0.25">
      <c r="A238" s="145"/>
      <c r="B238" s="82" t="s">
        <v>538</v>
      </c>
      <c r="C238" s="27" t="s">
        <v>445</v>
      </c>
      <c r="D238" s="32">
        <v>1</v>
      </c>
      <c r="E238" s="33"/>
      <c r="F238" s="83"/>
      <c r="G238" s="202"/>
      <c r="H238" s="33"/>
      <c r="I238" s="33"/>
      <c r="J238" s="33"/>
      <c r="K238" s="33"/>
      <c r="L238" s="41"/>
      <c r="M238" s="41"/>
      <c r="N238" s="76"/>
      <c r="O238" s="41"/>
      <c r="P238" s="41"/>
      <c r="Q238" s="41"/>
      <c r="R238" s="172"/>
      <c r="S238" s="41"/>
      <c r="T238" s="41"/>
      <c r="U238" s="41"/>
      <c r="V238" s="172"/>
      <c r="W238" s="49" t="s">
        <v>439</v>
      </c>
      <c r="X238" s="32" t="s">
        <v>399</v>
      </c>
    </row>
  </sheetData>
  <mergeCells count="120">
    <mergeCell ref="V231:V238"/>
    <mergeCell ref="K3:L8"/>
    <mergeCell ref="K9:L14"/>
    <mergeCell ref="K15:L20"/>
    <mergeCell ref="K21:L26"/>
    <mergeCell ref="V152:V159"/>
    <mergeCell ref="V160:V167"/>
    <mergeCell ref="V168:V176"/>
    <mergeCell ref="V177:V185"/>
    <mergeCell ref="V186:V194"/>
    <mergeCell ref="V195:V203"/>
    <mergeCell ref="V204:V212"/>
    <mergeCell ref="V213:V221"/>
    <mergeCell ref="V222:V230"/>
    <mergeCell ref="V61:V70"/>
    <mergeCell ref="V71:V80"/>
    <mergeCell ref="V81:V90"/>
    <mergeCell ref="V91:V100"/>
    <mergeCell ref="V101:V110"/>
    <mergeCell ref="V111:V121"/>
    <mergeCell ref="V122:V131"/>
    <mergeCell ref="V132:V141"/>
    <mergeCell ref="V142:V151"/>
    <mergeCell ref="T61:T70"/>
    <mergeCell ref="T71:T80"/>
    <mergeCell ref="T81:T90"/>
    <mergeCell ref="T91:T100"/>
    <mergeCell ref="T101:T110"/>
    <mergeCell ref="T111:T119"/>
    <mergeCell ref="T195:T203"/>
    <mergeCell ref="T204:T212"/>
    <mergeCell ref="U51:U60"/>
    <mergeCell ref="U71:U80"/>
    <mergeCell ref="U81:U90"/>
    <mergeCell ref="U91:U100"/>
    <mergeCell ref="U101:U110"/>
    <mergeCell ref="U111:U119"/>
    <mergeCell ref="U177:U185"/>
    <mergeCell ref="R142:R151"/>
    <mergeCell ref="R186:R194"/>
    <mergeCell ref="R195:R203"/>
    <mergeCell ref="R204:R212"/>
    <mergeCell ref="R231:R238"/>
    <mergeCell ref="S41:S50"/>
    <mergeCell ref="S51:S60"/>
    <mergeCell ref="S61:S70"/>
    <mergeCell ref="S71:S80"/>
    <mergeCell ref="S81:S90"/>
    <mergeCell ref="S91:S100"/>
    <mergeCell ref="S101:S110"/>
    <mergeCell ref="S111:S119"/>
    <mergeCell ref="S195:S203"/>
    <mergeCell ref="S213:S221"/>
    <mergeCell ref="S222:S230"/>
    <mergeCell ref="P168:P176"/>
    <mergeCell ref="P186:P194"/>
    <mergeCell ref="Q71:Q80"/>
    <mergeCell ref="Q122:Q131"/>
    <mergeCell ref="Q160:Q167"/>
    <mergeCell ref="Q168:Q176"/>
    <mergeCell ref="Q177:Q185"/>
    <mergeCell ref="Q213:Q221"/>
    <mergeCell ref="Q222:Q230"/>
    <mergeCell ref="K152:K159"/>
    <mergeCell ref="L27:L33"/>
    <mergeCell ref="L34:L40"/>
    <mergeCell ref="L186:L194"/>
    <mergeCell ref="N132:N141"/>
    <mergeCell ref="N152:N159"/>
    <mergeCell ref="O122:O131"/>
    <mergeCell ref="O168:O176"/>
    <mergeCell ref="O177:O185"/>
    <mergeCell ref="A231:A238"/>
    <mergeCell ref="F204:F212"/>
    <mergeCell ref="G3:G8"/>
    <mergeCell ref="G9:G14"/>
    <mergeCell ref="G231:G238"/>
    <mergeCell ref="H222:H230"/>
    <mergeCell ref="I213:I221"/>
    <mergeCell ref="J15:J20"/>
    <mergeCell ref="J21:J26"/>
    <mergeCell ref="J160:J167"/>
    <mergeCell ref="A152:A159"/>
    <mergeCell ref="A160:A167"/>
    <mergeCell ref="A168:A176"/>
    <mergeCell ref="A177:A185"/>
    <mergeCell ref="A186:A194"/>
    <mergeCell ref="A195:A203"/>
    <mergeCell ref="A204:A212"/>
    <mergeCell ref="A213:A221"/>
    <mergeCell ref="A222:A230"/>
    <mergeCell ref="A61:A70"/>
    <mergeCell ref="A71:A80"/>
    <mergeCell ref="A81:A90"/>
    <mergeCell ref="A91:A100"/>
    <mergeCell ref="A101:A110"/>
    <mergeCell ref="A111:A121"/>
    <mergeCell ref="A122:A131"/>
    <mergeCell ref="A132:A141"/>
    <mergeCell ref="A142:A151"/>
    <mergeCell ref="A1:X1"/>
    <mergeCell ref="A3:A8"/>
    <mergeCell ref="A9:A14"/>
    <mergeCell ref="A15:A20"/>
    <mergeCell ref="A21:A26"/>
    <mergeCell ref="A27:A33"/>
    <mergeCell ref="A34:A40"/>
    <mergeCell ref="A41:A50"/>
    <mergeCell ref="A51:A60"/>
    <mergeCell ref="K27:K33"/>
    <mergeCell ref="K34:K40"/>
    <mergeCell ref="T41:T50"/>
    <mergeCell ref="V41:V50"/>
    <mergeCell ref="V51:V60"/>
    <mergeCell ref="P132:P141"/>
    <mergeCell ref="P142:P151"/>
    <mergeCell ref="R41:R50"/>
    <mergeCell ref="R51:R60"/>
    <mergeCell ref="R61:R70"/>
    <mergeCell ref="R111:R119"/>
  </mergeCells>
  <phoneticPr fontId="36" type="noConversion"/>
  <pageMargins left="0.27500000000000002" right="0.196527777777778" top="0.23611111111111099" bottom="0.196527777777778" header="0.196527777777778" footer="0.196527777777778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42"/>
  <sheetViews>
    <sheetView topLeftCell="A7" workbookViewId="0">
      <selection activeCell="Q33" sqref="Q33"/>
    </sheetView>
  </sheetViews>
  <sheetFormatPr defaultColWidth="8.8984375" defaultRowHeight="13" x14ac:dyDescent="0.25"/>
  <cols>
    <col min="2" max="2" width="16.3984375" customWidth="1"/>
    <col min="14" max="14" width="12.19921875" customWidth="1"/>
    <col min="15" max="15" width="10.09765625" customWidth="1"/>
  </cols>
  <sheetData>
    <row r="1" spans="1:10" x14ac:dyDescent="0.25">
      <c r="A1">
        <v>2</v>
      </c>
      <c r="B1" t="str">
        <f>RIGHT(总课表!I3,6)</f>
        <v>耿锐
报告厅</v>
      </c>
      <c r="G1" s="1" t="str">
        <f>LEFT(总课表!I3,3)</f>
        <v xml:space="preserve">耿锐
</v>
      </c>
      <c r="H1" s="2" t="str">
        <f>LEFT(总课表!I3,3)</f>
        <v xml:space="preserve">耿锐
</v>
      </c>
      <c r="I1" s="2" t="str">
        <f>LEFT(总课表!M3,3)</f>
        <v xml:space="preserve">耿锐
</v>
      </c>
      <c r="J1" s="6" t="str">
        <f>LEFT(总课表!Q3,3)</f>
        <v>赵艳云</v>
      </c>
    </row>
    <row r="2" spans="1:10" x14ac:dyDescent="0.25">
      <c r="A2">
        <v>4</v>
      </c>
      <c r="B2" t="str">
        <f>RIGHT(总课表!I4,6)</f>
        <v>耿锐
报告厅</v>
      </c>
      <c r="G2" s="3" t="str">
        <f>LEFT(总课表!E4,3)</f>
        <v xml:space="preserve">耿锐
</v>
      </c>
      <c r="H2" t="str">
        <f>LEFT(总课表!I4,3)</f>
        <v xml:space="preserve">耿锐
</v>
      </c>
      <c r="I2" t="str">
        <f>LEFT(总课表!M4,3)</f>
        <v xml:space="preserve">耿锐
</v>
      </c>
      <c r="J2" s="7" t="str">
        <f>LEFT(总课表!Q4,3)</f>
        <v>赵艳云</v>
      </c>
    </row>
    <row r="3" spans="1:10" x14ac:dyDescent="0.25">
      <c r="A3">
        <v>6</v>
      </c>
      <c r="B3" t="str">
        <f>RIGHT(总课表!I5,6)</f>
        <v>耿锐
报告厅</v>
      </c>
      <c r="G3" s="3" t="str">
        <f>LEFT(总课表!E5,3)</f>
        <v xml:space="preserve">耿锐
</v>
      </c>
      <c r="H3" t="str">
        <f>LEFT(总课表!I5,3)</f>
        <v xml:space="preserve">耿锐
</v>
      </c>
      <c r="I3" t="str">
        <f>LEFT(总课表!M5,3)</f>
        <v xml:space="preserve">耿锐
</v>
      </c>
      <c r="J3" s="7" t="str">
        <f>LEFT(总课表!Q5,3)</f>
        <v>赵艳云</v>
      </c>
    </row>
    <row r="4" spans="1:10" x14ac:dyDescent="0.25">
      <c r="A4">
        <v>11</v>
      </c>
      <c r="B4" t="str">
        <f>RIGHT(总课表!I6,6)</f>
        <v>耿锐
报告厅</v>
      </c>
      <c r="G4" s="3" t="str">
        <f>LEFT(总课表!E6,3)</f>
        <v xml:space="preserve">耿锐
</v>
      </c>
      <c r="H4" t="str">
        <f>LEFT(总课表!I6,3)</f>
        <v xml:space="preserve">耿锐
</v>
      </c>
      <c r="I4" t="str">
        <f>LEFT(总课表!M6,3)</f>
        <v xml:space="preserve">耿锐
</v>
      </c>
      <c r="J4" s="7" t="str">
        <f>LEFT(总课表!Q6,3)</f>
        <v>赵艳云</v>
      </c>
    </row>
    <row r="5" spans="1:10" x14ac:dyDescent="0.25">
      <c r="A5">
        <v>24</v>
      </c>
      <c r="B5" t="str">
        <f>RIGHT(总课表!I16,6)</f>
        <v>践行楼101</v>
      </c>
      <c r="G5" s="3" t="str">
        <f>LEFT(总课表!E7,3)</f>
        <v>袁军萍</v>
      </c>
      <c r="H5" t="str">
        <f>LEFT(总课表!I7,3)</f>
        <v>袁军萍</v>
      </c>
      <c r="I5" t="str">
        <f>LEFT(总课表!M7,3)</f>
        <v>赵艳云</v>
      </c>
      <c r="J5" s="7" t="str">
        <f>LEFT(总课表!Q7,3)</f>
        <v xml:space="preserve">袁超
</v>
      </c>
    </row>
    <row r="6" spans="1:10" x14ac:dyDescent="0.25">
      <c r="A6">
        <v>17</v>
      </c>
      <c r="B6" t="str">
        <f>RIGHT(总课表!I11,6)</f>
        <v>践行楼103</v>
      </c>
      <c r="G6" s="3" t="str">
        <f>LEFT(总课表!E8,3)</f>
        <v>袁军萍</v>
      </c>
      <c r="H6" t="str">
        <f>LEFT(总课表!I8,3)</f>
        <v>袁军萍</v>
      </c>
      <c r="I6" t="str">
        <f>LEFT(总课表!M8,3)</f>
        <v>赵艳云</v>
      </c>
      <c r="J6" s="7" t="str">
        <f>LEFT(总课表!Q8,3)</f>
        <v xml:space="preserve">袁超
</v>
      </c>
    </row>
    <row r="7" spans="1:10" x14ac:dyDescent="0.25">
      <c r="A7">
        <v>16</v>
      </c>
      <c r="B7" t="str">
        <f>RIGHT(总课表!I12,6)</f>
        <v>践行楼104</v>
      </c>
      <c r="G7" s="3" t="str">
        <f>LEFT(总课表!E9,3)</f>
        <v xml:space="preserve">李星
</v>
      </c>
      <c r="H7" t="str">
        <f>LEFT(总课表!I9,3)</f>
        <v>钟丽娜</v>
      </c>
      <c r="I7" t="str">
        <f>LEFT(总课表!M9,3)</f>
        <v xml:space="preserve">徐行
</v>
      </c>
      <c r="J7" s="7" t="str">
        <f>LEFT(总课表!Q9,3)</f>
        <v xml:space="preserve">徐行
</v>
      </c>
    </row>
    <row r="8" spans="1:10" x14ac:dyDescent="0.25">
      <c r="A8">
        <v>12</v>
      </c>
      <c r="B8" t="str">
        <f>RIGHT(总课表!I20,6)</f>
        <v>践行楼201</v>
      </c>
      <c r="G8" s="3" t="str">
        <f>LEFT(总课表!E10,3)</f>
        <v xml:space="preserve">张磊
</v>
      </c>
      <c r="H8" t="str">
        <f>LEFT(总课表!I10,3)</f>
        <v>钟丽娜</v>
      </c>
      <c r="I8" t="str">
        <f>LEFT(总课表!M10,3)</f>
        <v xml:space="preserve">徐行
</v>
      </c>
      <c r="J8" s="7" t="str">
        <f>LEFT(总课表!Q10,3)</f>
        <v>钟丽娜</v>
      </c>
    </row>
    <row r="9" spans="1:10" x14ac:dyDescent="0.25">
      <c r="A9">
        <v>8</v>
      </c>
      <c r="B9" t="str">
        <f>RIGHT(总课表!I21,6)</f>
        <v>践行楼201</v>
      </c>
      <c r="G9" s="3"/>
      <c r="I9" t="str">
        <f>LEFT(总课表!M11,3)</f>
        <v xml:space="preserve">张磊
</v>
      </c>
      <c r="J9" s="7"/>
    </row>
    <row r="10" spans="1:10" x14ac:dyDescent="0.25">
      <c r="A10">
        <v>22</v>
      </c>
      <c r="B10" t="str">
        <f>RIGHT(总课表!I14,6)</f>
        <v>践行楼202</v>
      </c>
      <c r="G10" s="3" t="str">
        <f>LEFT(总课表!E12,3)</f>
        <v>徐春华</v>
      </c>
      <c r="H10" t="str">
        <f>LEFT(总课表!I12,3)</f>
        <v xml:space="preserve">何丹
</v>
      </c>
      <c r="J10" s="7" t="str">
        <f>LEFT(总课表!Q12,3)</f>
        <v xml:space="preserve">何丹
</v>
      </c>
    </row>
    <row r="11" spans="1:10" x14ac:dyDescent="0.25">
      <c r="A11">
        <v>9</v>
      </c>
      <c r="B11" t="str">
        <f>RIGHT(总课表!I15,6)</f>
        <v>践行楼203</v>
      </c>
      <c r="G11" s="3"/>
      <c r="H11" t="str">
        <f>LEFT(总课表!I13,3)</f>
        <v>黎海春</v>
      </c>
      <c r="I11" t="str">
        <f>LEFT(总课表!M13,3)</f>
        <v>徐春华</v>
      </c>
      <c r="J11" s="7" t="str">
        <f>LEFT(总课表!Q13,3)</f>
        <v xml:space="preserve">李星
</v>
      </c>
    </row>
    <row r="12" spans="1:10" x14ac:dyDescent="0.25">
      <c r="A12">
        <v>23</v>
      </c>
      <c r="B12" t="str">
        <f>RIGHT(总课表!I9,6)</f>
        <v>践行楼204</v>
      </c>
      <c r="G12" s="3" t="str">
        <f>LEFT(总课表!E14,3)</f>
        <v>黎海春</v>
      </c>
      <c r="H12" t="str">
        <f>LEFT(总课表!I14,3)</f>
        <v>徐春华</v>
      </c>
      <c r="I12" t="str">
        <f>LEFT(总课表!M14,3)</f>
        <v xml:space="preserve">李星
</v>
      </c>
      <c r="J12" s="7"/>
    </row>
    <row r="13" spans="1:10" x14ac:dyDescent="0.25">
      <c r="A13">
        <v>21</v>
      </c>
      <c r="B13" t="str">
        <f>RIGHT(总课表!I10,6)</f>
        <v>践行楼204</v>
      </c>
      <c r="G13" s="3" t="str">
        <f>LEFT(总课表!E15,3)</f>
        <v xml:space="preserve">徐行
</v>
      </c>
      <c r="J13" s="7"/>
    </row>
    <row r="14" spans="1:10" x14ac:dyDescent="0.25">
      <c r="A14">
        <v>3</v>
      </c>
      <c r="B14" t="str">
        <f>RIGHT(总课表!I7,6)</f>
        <v>践行楼401</v>
      </c>
      <c r="G14" s="3" t="str">
        <f>LEFT(总课表!E16,3)</f>
        <v xml:space="preserve">袁超
</v>
      </c>
      <c r="H14" t="str">
        <f>LEFT(总课表!I16,3)</f>
        <v xml:space="preserve">袁超
</v>
      </c>
      <c r="J14" s="7" t="str">
        <f>LEFT(总课表!Q16,3)</f>
        <v>营销型</v>
      </c>
    </row>
    <row r="15" spans="1:10" x14ac:dyDescent="0.25">
      <c r="A15">
        <v>5</v>
      </c>
      <c r="B15" t="str">
        <f>RIGHT(总课表!I8,6)</f>
        <v>践行楼401</v>
      </c>
      <c r="G15" s="3" t="str">
        <f>LEFT(总课表!E17,3)</f>
        <v>彭润华</v>
      </c>
      <c r="H15" t="str">
        <f>LEFT(总课表!I17,3)</f>
        <v xml:space="preserve">唐晗
</v>
      </c>
      <c r="I15" t="str">
        <f>LEFT(总课表!M17,3)</f>
        <v xml:space="preserve">王丽
</v>
      </c>
      <c r="J15" s="7" t="str">
        <f>LEFT(总课表!Q17,3)</f>
        <v xml:space="preserve">贺春
</v>
      </c>
    </row>
    <row r="16" spans="1:10" x14ac:dyDescent="0.25">
      <c r="A16">
        <v>18</v>
      </c>
      <c r="B16" t="str">
        <f>RIGHT(总课表!I22,6)</f>
        <v>践行楼403</v>
      </c>
      <c r="G16" s="3" t="str">
        <f>LEFT(总课表!E18,3)</f>
        <v>彭润华</v>
      </c>
      <c r="H16" t="str">
        <f>LEFT(总课表!I18,3)</f>
        <v xml:space="preserve">贺春
</v>
      </c>
      <c r="I16" t="str">
        <f>LEFT(总课表!M18,3)</f>
        <v xml:space="preserve">胡玲
</v>
      </c>
      <c r="J16" s="7" t="str">
        <f>LEFT(总课表!Q18,3)</f>
        <v xml:space="preserve">贺春
</v>
      </c>
    </row>
    <row r="17" spans="1:15" x14ac:dyDescent="0.25">
      <c r="A17">
        <v>26</v>
      </c>
      <c r="B17" t="str">
        <f>RIGHT(总课表!I23,6)</f>
        <v>践行楼403</v>
      </c>
      <c r="G17" s="3" t="str">
        <f>LEFT(总课表!E19,3)</f>
        <v xml:space="preserve">陈娟
</v>
      </c>
      <c r="H17" t="str">
        <f>LEFT(总课表!I19,3)</f>
        <v xml:space="preserve">胡玲
</v>
      </c>
      <c r="I17" t="str">
        <f>LEFT(总课表!M19,3)</f>
        <v xml:space="preserve">唐晗
</v>
      </c>
      <c r="J17" s="7" t="str">
        <f>LEFT(总课表!Q19,3)</f>
        <v xml:space="preserve">胡玲
</v>
      </c>
    </row>
    <row r="18" spans="1:15" x14ac:dyDescent="0.25">
      <c r="A18">
        <v>7</v>
      </c>
      <c r="B18" t="str">
        <f>RIGHT(总课表!I25,6)</f>
        <v>映荷楼101</v>
      </c>
      <c r="G18" s="3" t="str">
        <f>LEFT(总课表!E20,3)</f>
        <v>吴友才</v>
      </c>
      <c r="H18" t="str">
        <f>LEFT(总课表!I20,3)</f>
        <v>周香萍</v>
      </c>
      <c r="I18" t="str">
        <f>LEFT(总课表!M20,3)</f>
        <v>袁军萍</v>
      </c>
      <c r="J18" s="7" t="str">
        <f>LEFT(总课表!Q20,3)</f>
        <v>李含笑</v>
      </c>
    </row>
    <row r="19" spans="1:15" x14ac:dyDescent="0.25">
      <c r="A19">
        <v>19</v>
      </c>
      <c r="B19" t="str">
        <f>RIGHT(总课表!I17,6)</f>
        <v>映荷楼103</v>
      </c>
      <c r="G19" s="3" t="str">
        <f>LEFT(总课表!E21,3)</f>
        <v>周香萍</v>
      </c>
      <c r="H19" t="str">
        <f>LEFT(总课表!I21,3)</f>
        <v>周香萍</v>
      </c>
      <c r="I19" t="str">
        <f>LEFT(总课表!M21,3)</f>
        <v>李含笑</v>
      </c>
      <c r="J19" s="7" t="str">
        <f>LEFT(总课表!Q21,3)</f>
        <v xml:space="preserve">谢鹏
</v>
      </c>
    </row>
    <row r="20" spans="1:15" x14ac:dyDescent="0.25">
      <c r="A20">
        <v>1</v>
      </c>
      <c r="B20" t="str">
        <f>RIGHT(总课表!I27,6)</f>
        <v>映荷楼104</v>
      </c>
      <c r="G20" s="3" t="str">
        <f>LEFT(总课表!E22,3)</f>
        <v xml:space="preserve">柳航
</v>
      </c>
      <c r="H20" t="str">
        <f>LEFT(总课表!I22,3)</f>
        <v xml:space="preserve">柳航
</v>
      </c>
      <c r="I20" t="str">
        <f>LEFT(总课表!M22,3)</f>
        <v xml:space="preserve">贺春
</v>
      </c>
      <c r="J20" s="7" t="str">
        <f>LEFT(总课表!Q22,3)</f>
        <v>谢嘉祺</v>
      </c>
    </row>
    <row r="21" spans="1:15" x14ac:dyDescent="0.25">
      <c r="A21">
        <v>20</v>
      </c>
      <c r="B21" t="str">
        <f>RIGHT(总课表!I19,6)</f>
        <v>映荷楼201</v>
      </c>
      <c r="G21" s="3" t="str">
        <f>LEFT(总课表!E23,3)</f>
        <v xml:space="preserve">唐晗
</v>
      </c>
      <c r="H21" t="str">
        <f>LEFT(总课表!I23,3)</f>
        <v xml:space="preserve">柳航
</v>
      </c>
      <c r="I21" t="str">
        <f>LEFT(总课表!M23,3)</f>
        <v>谢嘉祺</v>
      </c>
      <c r="J21" s="7" t="str">
        <f>LEFT(总课表!Q23,3)</f>
        <v>肖继林</v>
      </c>
    </row>
    <row r="22" spans="1:15" x14ac:dyDescent="0.25">
      <c r="A22">
        <v>27</v>
      </c>
      <c r="B22" t="str">
        <f>RIGHT(总课表!I18,6)</f>
        <v>映荷楼202</v>
      </c>
      <c r="G22" s="3" t="str">
        <f>LEFT(总课表!E24,3)</f>
        <v xml:space="preserve">谢鹏
</v>
      </c>
      <c r="H22" t="str">
        <f>LEFT(总课表!I24,3)</f>
        <v>李含笑</v>
      </c>
      <c r="I22" t="str">
        <f>LEFT(总课表!M24,3)</f>
        <v>吴友才</v>
      </c>
      <c r="J22" s="7" t="str">
        <f>LEFT(总课表!Q24,3)</f>
        <v xml:space="preserve">张磊
</v>
      </c>
    </row>
    <row r="23" spans="1:15" x14ac:dyDescent="0.25">
      <c r="A23">
        <v>15</v>
      </c>
      <c r="B23" t="str">
        <f>RIGHT(总课表!I26,6)</f>
        <v>映荷楼204</v>
      </c>
      <c r="G23" s="3" t="str">
        <f>LEFT(总课表!E25,3)</f>
        <v>文林一</v>
      </c>
      <c r="H23" t="str">
        <f>LEFT(总课表!I25,3)</f>
        <v xml:space="preserve">陈娟
</v>
      </c>
      <c r="I23" t="str">
        <f>LEFT(总课表!M25,3)</f>
        <v xml:space="preserve">彭明
</v>
      </c>
      <c r="J23" s="7" t="str">
        <f>LEFT(总课表!Q25,3)</f>
        <v>文林一</v>
      </c>
    </row>
    <row r="24" spans="1:15" x14ac:dyDescent="0.25">
      <c r="A24">
        <v>13</v>
      </c>
      <c r="B24" t="str">
        <f>RIGHT(总课表!I24,6)</f>
        <v>映荷楼301</v>
      </c>
      <c r="G24" s="3" t="str">
        <f>LEFT(总课表!E26,3)</f>
        <v xml:space="preserve">彭明
</v>
      </c>
      <c r="H24" t="str">
        <f>LEFT(总课表!I26,3)</f>
        <v>黄仕尘</v>
      </c>
      <c r="I24" t="str">
        <f>LEFT(总课表!M26,3)</f>
        <v>彭润华</v>
      </c>
      <c r="J24" s="7" t="str">
        <f>LEFT(总课表!Q26,3)</f>
        <v>罗夏芸</v>
      </c>
    </row>
    <row r="25" spans="1:15" x14ac:dyDescent="0.25">
      <c r="A25">
        <v>14</v>
      </c>
      <c r="B25" t="str">
        <f>RIGHT(总课表!I13,6)</f>
        <v>映荷楼302</v>
      </c>
      <c r="G25" s="3" t="str">
        <f>LEFT(总课表!E27,3)</f>
        <v>黄仕尘</v>
      </c>
      <c r="H25" t="str">
        <f>LEFT(总课表!I27,3)</f>
        <v>彭润华</v>
      </c>
      <c r="I25" t="str">
        <f>LEFT(总课表!M27,3)</f>
        <v>周香萍</v>
      </c>
      <c r="J25" s="7" t="str">
        <f>LEFT(总课表!Q27,3)</f>
        <v xml:space="preserve">王丽
</v>
      </c>
    </row>
    <row r="26" spans="1:15" x14ac:dyDescent="0.25">
      <c r="A26">
        <v>10</v>
      </c>
      <c r="B26" t="str">
        <f>RIGHT(总课表!I28,6)</f>
        <v>映荷楼402</v>
      </c>
      <c r="G26" s="3" t="str">
        <f>LEFT(总课表!E28,3)</f>
        <v>钟子良</v>
      </c>
      <c r="H26" t="str">
        <f>LEFT(总课表!I28,3)</f>
        <v>罗夏芸</v>
      </c>
      <c r="I26" t="str">
        <f>LEFT(总课表!M28,3)</f>
        <v>罗夏芸</v>
      </c>
      <c r="J26" s="7" t="str">
        <f>LEFT(总课表!Q28,3)</f>
        <v>周香萍</v>
      </c>
    </row>
    <row r="27" spans="1:15" x14ac:dyDescent="0.25">
      <c r="A27">
        <v>25</v>
      </c>
      <c r="B27" t="str">
        <f>RIGHT(总课表!I29,6)</f>
        <v>映荷楼403</v>
      </c>
      <c r="G27" s="4" t="str">
        <f>LEFT(总课表!E29,3)</f>
        <v>钟子良</v>
      </c>
      <c r="H27" s="5" t="str">
        <f>LEFT(总课表!I29,3)</f>
        <v>罗夏芸</v>
      </c>
      <c r="I27" s="5" t="str">
        <f>LEFT(总课表!M29,3)</f>
        <v>罗夏芸</v>
      </c>
      <c r="J27" s="8" t="str">
        <f>LEFT(总课表!Q29,3)</f>
        <v>钟子良</v>
      </c>
    </row>
    <row r="29" spans="1:15" ht="15" x14ac:dyDescent="0.25">
      <c r="N29" s="9" t="s">
        <v>361</v>
      </c>
      <c r="O29" s="9" t="s">
        <v>497</v>
      </c>
    </row>
    <row r="30" spans="1:15" ht="15" x14ac:dyDescent="0.25">
      <c r="N30" s="10" t="s">
        <v>320</v>
      </c>
      <c r="O30" s="9">
        <v>2</v>
      </c>
    </row>
    <row r="31" spans="1:15" ht="15" x14ac:dyDescent="0.25">
      <c r="N31" s="10" t="s">
        <v>296</v>
      </c>
      <c r="O31" s="9">
        <v>3</v>
      </c>
    </row>
    <row r="32" spans="1:15" ht="15" x14ac:dyDescent="0.25">
      <c r="N32" s="10" t="s">
        <v>309</v>
      </c>
      <c r="O32" s="9">
        <v>4</v>
      </c>
    </row>
    <row r="33" spans="14:15" ht="15" x14ac:dyDescent="0.25">
      <c r="N33" s="10" t="s">
        <v>331</v>
      </c>
      <c r="O33" s="9">
        <v>5</v>
      </c>
    </row>
    <row r="34" spans="14:15" ht="15" x14ac:dyDescent="0.25">
      <c r="N34" s="10" t="s">
        <v>264</v>
      </c>
      <c r="O34" s="9">
        <v>6</v>
      </c>
    </row>
    <row r="35" spans="14:15" ht="15" x14ac:dyDescent="0.25">
      <c r="N35" s="10" t="s">
        <v>249</v>
      </c>
      <c r="O35" s="9">
        <v>7</v>
      </c>
    </row>
    <row r="36" spans="14:15" ht="15" x14ac:dyDescent="0.25">
      <c r="N36" s="10" t="s">
        <v>236</v>
      </c>
      <c r="O36" s="9">
        <v>8</v>
      </c>
    </row>
    <row r="37" spans="14:15" ht="15" x14ac:dyDescent="0.25">
      <c r="N37" s="10" t="s">
        <v>196</v>
      </c>
      <c r="O37" s="9">
        <v>10</v>
      </c>
    </row>
    <row r="38" spans="14:15" ht="15" x14ac:dyDescent="0.25">
      <c r="N38" s="10" t="s">
        <v>221</v>
      </c>
      <c r="O38" s="9">
        <v>11</v>
      </c>
    </row>
    <row r="39" spans="14:15" ht="15" x14ac:dyDescent="0.25">
      <c r="N39" s="10" t="s">
        <v>285</v>
      </c>
      <c r="O39" s="9">
        <v>12</v>
      </c>
    </row>
    <row r="40" spans="14:15" ht="15" x14ac:dyDescent="0.25">
      <c r="N40" s="10" t="s">
        <v>178</v>
      </c>
      <c r="O40" s="9">
        <v>13</v>
      </c>
    </row>
    <row r="41" spans="14:15" ht="15" x14ac:dyDescent="0.25">
      <c r="N41" s="10" t="s">
        <v>207</v>
      </c>
      <c r="O41" s="9">
        <v>14</v>
      </c>
    </row>
    <row r="42" spans="14:15" ht="15" x14ac:dyDescent="0.25">
      <c r="N42" s="10" t="s">
        <v>274</v>
      </c>
      <c r="O42" s="9">
        <v>15</v>
      </c>
    </row>
  </sheetData>
  <sortState xmlns:xlrd2="http://schemas.microsoft.com/office/spreadsheetml/2017/richdata2" ref="A1:B27">
    <sortCondition ref="B1"/>
  </sortState>
  <phoneticPr fontId="36" type="noConversion"/>
  <conditionalFormatting sqref="B1:C1 B2:B27">
    <cfRule type="duplicateValues" dxfId="0" priority="10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总课表</vt:lpstr>
      <vt:lpstr>单班课表</vt:lpstr>
      <vt:lpstr>教师个人课程表</vt:lpstr>
      <vt:lpstr>教师姓名</vt:lpstr>
      <vt:lpstr>周历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苑文建</dc:creator>
  <cp:lastModifiedBy>Xing</cp:lastModifiedBy>
  <cp:lastPrinted>2019-10-08T10:33:00Z</cp:lastPrinted>
  <dcterms:created xsi:type="dcterms:W3CDTF">2014-08-21T03:33:00Z</dcterms:created>
  <dcterms:modified xsi:type="dcterms:W3CDTF">2021-03-23T08:12:15Z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2052-11.8.2.8506</vt:lpwstr>
  </property>
</Properties>
</file>